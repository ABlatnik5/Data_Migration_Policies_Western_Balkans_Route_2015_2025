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tables/table4.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tables/table5.xml" ContentType="application/vnd.openxmlformats-officedocument.spreadsheetml.table+xml"/>
  <Override PartName="/xl/charts/chart2.xml" ContentType="application/vnd.openxmlformats-officedocument.drawingml.chart+xml"/>
  <Override PartName="/xl/tables/table6.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tables/table7.xml" ContentType="application/vnd.openxmlformats-officedocument.spreadsheetml.table+xml"/>
  <Override PartName="/xl/charts/chart3.xml" ContentType="application/vnd.openxmlformats-officedocument.drawingml.chart+xml"/>
  <Override PartName="/xl/tables/table8.xml" ContentType="application/vnd.openxmlformats-officedocument.spreadsheetml.table+xml"/>
  <Override PartName="/xl/pivotTables/pivotTable4.xml" ContentType="application/vnd.openxmlformats-officedocument.spreadsheetml.pivotTable+xml"/>
  <Override PartName="/xl/drawings/drawing4.xml" ContentType="application/vnd.openxmlformats-officedocument.drawing+xml"/>
  <Override PartName="/xl/tables/table9.xml" ContentType="application/vnd.openxmlformats-officedocument.spreadsheetml.table+xml"/>
  <Override PartName="/xl/charts/chart4.xml" ContentType="application/vnd.openxmlformats-officedocument.drawingml.chart+xml"/>
  <Override PartName="/xl/tables/table10.xml" ContentType="application/vnd.openxmlformats-officedocument.spreadsheetml.table+xml"/>
  <Override PartName="/xl/pivotTables/pivotTable5.xml" ContentType="application/vnd.openxmlformats-officedocument.spreadsheetml.pivotTable+xml"/>
  <Override PartName="/xl/drawings/drawing5.xml" ContentType="application/vnd.openxmlformats-officedocument.drawing+xml"/>
  <Override PartName="/xl/tables/table11.xml" ContentType="application/vnd.openxmlformats-officedocument.spreadsheetml.table+xml"/>
  <Override PartName="/xl/charts/chart5.xml" ContentType="application/vnd.openxmlformats-officedocument.drawingml.chart+xml"/>
  <Override PartName="/xl/tables/table12.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13.xml" ContentType="application/vnd.openxmlformats-officedocument.spreadsheetml.table+xml"/>
  <Override PartName="/xl/charts/chart6.xml" ContentType="application/vnd.openxmlformats-officedocument.drawingml.chart+xml"/>
  <Override PartName="/xl/tables/table14.xml" ContentType="application/vnd.openxmlformats-officedocument.spreadsheetml.table+xml"/>
  <Override PartName="/xl/pivotTables/pivotTable7.xml" ContentType="application/vnd.openxmlformats-officedocument.spreadsheetml.pivotTable+xml"/>
  <Override PartName="/xl/drawings/drawing7.xml" ContentType="application/vnd.openxmlformats-officedocument.drawing+xml"/>
  <Override PartName="/xl/tables/table15.xml" ContentType="application/vnd.openxmlformats-officedocument.spreadsheetml.table+xml"/>
  <Override PartName="/xl/charts/chart7.xml" ContentType="application/vnd.openxmlformats-officedocument.drawingml.chart+xml"/>
  <Override PartName="/xl/tables/table16.xml" ContentType="application/vnd.openxmlformats-officedocument.spreadsheetml.table+xml"/>
  <Override PartName="/xl/pivotTables/pivotTable8.xml" ContentType="application/vnd.openxmlformats-officedocument.spreadsheetml.pivotTable+xml"/>
  <Override PartName="/xl/drawings/drawing8.xml" ContentType="application/vnd.openxmlformats-officedocument.drawing+xml"/>
  <Override PartName="/xl/tables/table17.xml" ContentType="application/vnd.openxmlformats-officedocument.spreadsheetml.table+xml"/>
  <Override PartName="/xl/charts/chart8.xml" ContentType="application/vnd.openxmlformats-officedocument.drawingml.chart+xml"/>
  <Override PartName="/xl/tables/table18.xml" ContentType="application/vnd.openxmlformats-officedocument.spreadsheetml.table+xml"/>
  <Override PartName="/xl/pivotTables/pivotTable9.xml" ContentType="application/vnd.openxmlformats-officedocument.spreadsheetml.pivotTable+xml"/>
  <Override PartName="/xl/drawings/drawing9.xml" ContentType="application/vnd.openxmlformats-officedocument.drawing+xml"/>
  <Override PartName="/xl/tables/table19.xml" ContentType="application/vnd.openxmlformats-officedocument.spreadsheetml.table+xml"/>
  <Override PartName="/xl/charts/chart9.xml" ContentType="application/vnd.openxmlformats-officedocument.drawingml.chart+xml"/>
  <Override PartName="/xl/tables/table20.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0.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xml" ContentType="application/vnd.ms-office.chartstyle+xml"/>
  <Override PartName="/xl/charts/colors1.xml" ContentType="application/vnd.ms-office.chartcolorstyle+xml"/>
  <Override PartName="/xl/charts/chart11.xml" ContentType="application/vnd.openxmlformats-officedocument.drawingml.char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drawings/drawing11.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charts/chart12.xml" ContentType="application/vnd.openxmlformats-officedocument.drawingml.chart+xml"/>
  <Override PartName="/xl/charts/style2.xml" ContentType="application/vnd.ms-office.chartstyle+xml"/>
  <Override PartName="/xl/charts/colors2.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3.xml" ContentType="application/vnd.ms-office.chartstyle+xml"/>
  <Override PartName="/xl/charts/colors3.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4.xml" ContentType="application/vnd.ms-office.chartstyle+xml"/>
  <Override PartName="/xl/charts/colors4.xml" ContentType="application/vnd.ms-office.chartcolorstyle+xml"/>
  <Override PartName="/xl/charts/chart17.xml" ContentType="application/vnd.openxmlformats-officedocument.drawingml.chart+xml"/>
  <Override PartName="/xl/charts/style5.xml" ContentType="application/vnd.ms-office.chartstyle+xml"/>
  <Override PartName="/xl/charts/colors5.xml" ContentType="application/vnd.ms-office.chartcolorstyle+xml"/>
  <Override PartName="/xl/charts/chart18.xml" ContentType="application/vnd.openxmlformats-officedocument.drawingml.chart+xml"/>
  <Override PartName="/xl/charts/style6.xml" ContentType="application/vnd.ms-office.chartstyle+xml"/>
  <Override PartName="/xl/charts/colors6.xml" ContentType="application/vnd.ms-office.chartcolorstyle+xml"/>
  <Override PartName="/xl/charts/chart19.xml" ContentType="application/vnd.openxmlformats-officedocument.drawingml.chart+xml"/>
  <Override PartName="/xl/charts/style7.xml" ContentType="application/vnd.ms-office.chartstyle+xml"/>
  <Override PartName="/xl/charts/colors7.xml" ContentType="application/vnd.ms-office.chartcolorstyle+xml"/>
  <Override PartName="/xl/charts/chart20.xml" ContentType="application/vnd.openxmlformats-officedocument.drawingml.chart+xml"/>
  <Override PartName="/xl/charts/style8.xml" ContentType="application/vnd.ms-office.chartstyle+xml"/>
  <Override PartName="/xl/charts/colors8.xml" ContentType="application/vnd.ms-office.chartcolorstyle+xml"/>
  <Override PartName="/xl/charts/chart21.xml" ContentType="application/vnd.openxmlformats-officedocument.drawingml.chart+xml"/>
  <Override PartName="/xl/charts/style9.xml" ContentType="application/vnd.ms-office.chartstyle+xml"/>
  <Override PartName="/xl/charts/colors9.xml" ContentType="application/vnd.ms-office.chartcolorstyle+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F:\Šola\Articles\Migration_Policies_Final\"/>
    </mc:Choice>
  </mc:AlternateContent>
  <xr:revisionPtr revIDLastSave="0" documentId="13_ncr:1_{4CFD6D3E-7A08-453A-9105-9DB3C9CF190C}" xr6:coauthVersionLast="47" xr6:coauthVersionMax="47" xr10:uidLastSave="{00000000-0000-0000-0000-000000000000}"/>
  <bookViews>
    <workbookView xWindow="-108" yWindow="-108" windowWidth="41496" windowHeight="16776" tabRatio="855" xr2:uid="{00000000-000D-0000-FFFF-FFFF00000000}"/>
  </bookViews>
  <sheets>
    <sheet name="Sources" sheetId="31" r:id="rId1"/>
    <sheet name="Croatia_Policies" sheetId="4" r:id="rId2"/>
    <sheet name="Croatia_Rating" sheetId="15" r:id="rId3"/>
    <sheet name="Bosnia_and_Herzegovina_Policies" sheetId="7" r:id="rId4"/>
    <sheet name="Bosnia_and_Herzegovina_Rating" sheetId="16" r:id="rId5"/>
    <sheet name="Serbia_Policies" sheetId="8" r:id="rId6"/>
    <sheet name="Serbia_Rating" sheetId="17" r:id="rId7"/>
    <sheet name="North_Macedonia_Policies" sheetId="12" r:id="rId8"/>
    <sheet name="North_Macedonia_Rating" sheetId="18" r:id="rId9"/>
    <sheet name="Montenegro_Policies" sheetId="20" r:id="rId10"/>
    <sheet name="Montenegro_Rating" sheetId="24" r:id="rId11"/>
    <sheet name="Albania_Policies" sheetId="21" r:id="rId12"/>
    <sheet name="Albania_Rating" sheetId="25" r:id="rId13"/>
    <sheet name="Kosovo_Policies" sheetId="22" r:id="rId14"/>
    <sheet name="Kosovo_Rating" sheetId="26" r:id="rId15"/>
    <sheet name="Slovenia_Policies" sheetId="2" r:id="rId16"/>
    <sheet name="Slovenia_Rating" sheetId="14" r:id="rId17"/>
    <sheet name="Hungary_Policies" sheetId="19" r:id="rId18"/>
    <sheet name="Hungary_Rating" sheetId="23" r:id="rId19"/>
    <sheet name="Western_Balkan_Rating" sheetId="27" r:id="rId20"/>
    <sheet name="Western_Balkan_Tables" sheetId="28" r:id="rId21"/>
    <sheet name="Variables" sheetId="29" r:id="rId22"/>
    <sheet name="Variables_Graphs" sheetId="30" r:id="rId23"/>
  </sheets>
  <definedNames>
    <definedName name="Slicer_Years__Policy_Date">#N/A</definedName>
  </definedNames>
  <calcPr calcId="191029"/>
  <pivotCaches>
    <pivotCache cacheId="0" r:id="rId24"/>
    <pivotCache cacheId="1" r:id="rId25"/>
    <pivotCache cacheId="2" r:id="rId26"/>
    <pivotCache cacheId="3" r:id="rId27"/>
    <pivotCache cacheId="4" r:id="rId28"/>
    <pivotCache cacheId="5" r:id="rId29"/>
    <pivotCache cacheId="6" r:id="rId30"/>
    <pivotCache cacheId="7" r:id="rId31"/>
    <pivotCache cacheId="8" r:id="rId32"/>
    <pivotCache cacheId="9" r:id="rId33"/>
  </pivotCaches>
  <extLst>
    <ext xmlns:x14="http://schemas.microsoft.com/office/spreadsheetml/2009/9/main" uri="{BBE1A952-AA13-448e-AADC-164F8A28A991}">
      <x14:slicerCaches>
        <x14:slicerCache r:id="rId3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2" i="27" l="1" a="1"/>
  <c r="L32" i="27" s="1"/>
  <c r="G32" i="27"/>
  <c r="L31" i="27" a="1"/>
  <c r="L31" i="27" s="1"/>
  <c r="G31" i="27"/>
  <c r="L30" i="27" a="1"/>
  <c r="L30" i="27" s="1"/>
  <c r="G30" i="27"/>
  <c r="L29" i="27" a="1"/>
  <c r="L29" i="27" s="1"/>
  <c r="G29" i="27"/>
  <c r="L28" i="27" a="1"/>
  <c r="L28" i="27" s="1"/>
  <c r="G28" i="27"/>
  <c r="L27" i="27" a="1"/>
  <c r="L27" i="27" s="1"/>
  <c r="G27" i="27"/>
  <c r="L26" i="27" a="1"/>
  <c r="L26" i="27" s="1"/>
  <c r="G26" i="27"/>
  <c r="L25" i="27" a="1"/>
  <c r="L25" i="27" s="1"/>
  <c r="G25" i="27"/>
  <c r="L24" i="27" a="1"/>
  <c r="L24" i="27" s="1"/>
  <c r="G24" i="27"/>
  <c r="L23" i="27" a="1"/>
  <c r="L23" i="27" s="1"/>
  <c r="G23" i="27"/>
  <c r="L22" i="27" a="1"/>
  <c r="L22" i="27" s="1"/>
  <c r="G22" i="27"/>
  <c r="L21" i="27" a="1"/>
  <c r="L21" i="27" s="1"/>
  <c r="G21" i="27"/>
  <c r="L20" i="27" a="1"/>
  <c r="L20" i="27" s="1"/>
  <c r="G20" i="27"/>
  <c r="L19" i="27" a="1"/>
  <c r="L19" i="27" s="1"/>
  <c r="G19" i="27"/>
  <c r="L18" i="27" a="1"/>
  <c r="L18" i="27" s="1"/>
  <c r="G18" i="27"/>
  <c r="L17" i="27" a="1"/>
  <c r="L17" i="27" s="1"/>
  <c r="G17" i="27"/>
  <c r="L16" i="27" a="1"/>
  <c r="L16" i="27" s="1"/>
  <c r="G16" i="27"/>
  <c r="L15" i="27" a="1"/>
  <c r="L15" i="27" s="1"/>
  <c r="G15" i="27"/>
  <c r="L14" i="27" a="1"/>
  <c r="L14" i="27" s="1"/>
  <c r="G14" i="27"/>
  <c r="L13" i="27" a="1"/>
  <c r="L13" i="27" s="1"/>
  <c r="G13" i="27"/>
  <c r="L12" i="27" a="1"/>
  <c r="L12" i="27" s="1"/>
  <c r="G12" i="27"/>
  <c r="L11" i="27" a="1"/>
  <c r="L11" i="27" s="1"/>
  <c r="G11" i="27"/>
  <c r="L10" i="27" a="1"/>
  <c r="L10" i="27" s="1"/>
  <c r="G10" i="27"/>
  <c r="L9" i="27" a="1"/>
  <c r="L9" i="27" s="1"/>
  <c r="G9" i="27"/>
  <c r="L8" i="27" a="1"/>
  <c r="L8" i="27" s="1"/>
  <c r="G8" i="27"/>
  <c r="L7" i="27" a="1"/>
  <c r="L7" i="27" s="1"/>
  <c r="G7" i="27"/>
  <c r="L6" i="27" a="1"/>
  <c r="L6" i="27" s="1"/>
  <c r="G6" i="27"/>
  <c r="L5" i="27" a="1"/>
  <c r="L5" i="27" s="1"/>
  <c r="G5" i="27"/>
  <c r="L4" i="27" a="1"/>
  <c r="L4" i="27" s="1"/>
  <c r="G4" i="27"/>
  <c r="L3" i="27" a="1"/>
  <c r="L3" i="27" s="1"/>
  <c r="G3" i="27"/>
  <c r="L2" i="27" a="1"/>
  <c r="L2" i="27" s="1"/>
  <c r="G2" i="27"/>
  <c r="L3" i="12" a="1"/>
  <c r="L3" i="12" s="1"/>
  <c r="L4" i="12" a="1"/>
  <c r="L4" i="12" s="1"/>
  <c r="L5" i="12" a="1"/>
  <c r="L5" i="12" s="1"/>
  <c r="L6" i="12" a="1"/>
  <c r="L6" i="12" s="1"/>
  <c r="L7" i="12" a="1"/>
  <c r="L7" i="12"/>
  <c r="L8" i="12" a="1"/>
  <c r="L8" i="12"/>
  <c r="L9" i="12" a="1"/>
  <c r="L9" i="12"/>
  <c r="L10" i="12" a="1"/>
  <c r="L10" i="12"/>
  <c r="L11" i="12" a="1"/>
  <c r="L11" i="12" s="1"/>
  <c r="L12" i="12" a="1"/>
  <c r="L12" i="12" s="1"/>
  <c r="L2" i="12" a="1"/>
  <c r="L2" i="12"/>
  <c r="L3" i="20" a="1"/>
  <c r="L3" i="20" s="1"/>
  <c r="L4" i="20" a="1"/>
  <c r="L4" i="20" s="1"/>
  <c r="L5" i="20" a="1"/>
  <c r="L5" i="20" s="1"/>
  <c r="L6" i="20" a="1"/>
  <c r="L6" i="20"/>
  <c r="L2" i="20" a="1"/>
  <c r="L2" i="20" s="1"/>
  <c r="L3" i="21" a="1"/>
  <c r="L3" i="21" s="1"/>
  <c r="L4" i="21" a="1"/>
  <c r="L4" i="21" s="1"/>
  <c r="L5" i="21" a="1"/>
  <c r="L5" i="21" s="1"/>
  <c r="L6" i="21" a="1"/>
  <c r="L6" i="21" s="1"/>
  <c r="L7" i="21" a="1"/>
  <c r="L7" i="21"/>
  <c r="L8" i="21" a="1"/>
  <c r="L8" i="21"/>
  <c r="L9" i="21" a="1"/>
  <c r="L9" i="21"/>
  <c r="L2" i="21" a="1"/>
  <c r="L2" i="21" s="1"/>
  <c r="L3" i="22" a="1"/>
  <c r="L3" i="22" s="1"/>
  <c r="L4" i="22" a="1"/>
  <c r="L4" i="22" s="1"/>
  <c r="L5" i="22" a="1"/>
  <c r="L5" i="22" s="1"/>
  <c r="L6" i="22" a="1"/>
  <c r="L6" i="22" s="1"/>
  <c r="L2" i="22" a="1"/>
  <c r="L2" i="22" s="1"/>
  <c r="F12" i="19"/>
  <c r="F13" i="19"/>
  <c r="F14" i="19"/>
  <c r="L3" i="19" a="1"/>
  <c r="L3" i="19" s="1"/>
  <c r="L4" i="19" a="1"/>
  <c r="L4" i="19"/>
  <c r="L5" i="19" a="1"/>
  <c r="L5" i="19"/>
  <c r="L6" i="19" a="1"/>
  <c r="L6" i="19" s="1"/>
  <c r="L7" i="19" a="1"/>
  <c r="L7" i="19"/>
  <c r="L8" i="19" a="1"/>
  <c r="L8" i="19"/>
  <c r="L9" i="19" a="1"/>
  <c r="L9" i="19"/>
  <c r="L10" i="19" a="1"/>
  <c r="L10" i="19"/>
  <c r="L11" i="19" a="1"/>
  <c r="L11" i="19"/>
  <c r="L12" i="19" a="1"/>
  <c r="L12" i="19"/>
  <c r="L13" i="19" a="1"/>
  <c r="L13" i="19"/>
  <c r="L14" i="19" a="1"/>
  <c r="L14" i="19"/>
  <c r="L2" i="19" a="1"/>
  <c r="L2" i="19" s="1"/>
  <c r="L3" i="8" a="1"/>
  <c r="L3" i="8" s="1"/>
  <c r="L4" i="8" a="1"/>
  <c r="L4" i="8" s="1"/>
  <c r="L5" i="8" a="1"/>
  <c r="L5" i="8" s="1"/>
  <c r="L6" i="8" a="1"/>
  <c r="L6" i="8" s="1"/>
  <c r="L7" i="8" a="1"/>
  <c r="L7" i="8"/>
  <c r="L8" i="8" a="1"/>
  <c r="L8" i="8"/>
  <c r="L9" i="8" a="1"/>
  <c r="L9" i="8"/>
  <c r="L10" i="8" a="1"/>
  <c r="L10" i="8"/>
  <c r="L11" i="8" a="1"/>
  <c r="L11" i="8"/>
  <c r="L12" i="8" a="1"/>
  <c r="L12" i="8"/>
  <c r="L13" i="8" a="1"/>
  <c r="L13" i="8"/>
  <c r="L14" i="8" a="1"/>
  <c r="L14" i="8"/>
  <c r="L15" i="8" a="1"/>
  <c r="L15" i="8"/>
  <c r="L16" i="8" a="1"/>
  <c r="L16" i="8" s="1"/>
  <c r="L17" i="8" a="1"/>
  <c r="L17" i="8"/>
  <c r="L18" i="8" a="1"/>
  <c r="L18" i="8"/>
  <c r="L19" i="8" a="1"/>
  <c r="L19" i="8" s="1"/>
  <c r="L20" i="8" a="1"/>
  <c r="L20" i="8"/>
  <c r="L21" i="8" a="1"/>
  <c r="L21" i="8" s="1"/>
  <c r="L22" i="8" a="1"/>
  <c r="L22" i="8" s="1"/>
  <c r="L23" i="8" a="1"/>
  <c r="L23" i="8"/>
  <c r="L24" i="8" a="1"/>
  <c r="L24" i="8" s="1"/>
  <c r="L25" i="8" a="1"/>
  <c r="L25" i="8"/>
  <c r="L26" i="8" a="1"/>
  <c r="L26" i="8" s="1"/>
  <c r="L2" i="8" a="1"/>
  <c r="L2" i="8"/>
  <c r="L3" i="7" a="1"/>
  <c r="L3" i="7" s="1"/>
  <c r="L4" i="7" a="1"/>
  <c r="L4" i="7" s="1"/>
  <c r="L5" i="7" a="1"/>
  <c r="L5" i="7" s="1"/>
  <c r="L6" i="7" a="1"/>
  <c r="L6" i="7" s="1"/>
  <c r="L7" i="7" a="1"/>
  <c r="L7" i="7" s="1"/>
  <c r="L8" i="7" a="1"/>
  <c r="L8" i="7" s="1"/>
  <c r="L9" i="7" a="1"/>
  <c r="L9" i="7" s="1"/>
  <c r="L10" i="7" a="1"/>
  <c r="L10" i="7" s="1"/>
  <c r="L11" i="7" a="1"/>
  <c r="L11" i="7"/>
  <c r="L12" i="7" a="1"/>
  <c r="L12" i="7"/>
  <c r="L13" i="7" a="1"/>
  <c r="L13" i="7" s="1"/>
  <c r="L14" i="7" a="1"/>
  <c r="L14" i="7" s="1"/>
  <c r="L15" i="7" a="1"/>
  <c r="L15" i="7"/>
  <c r="L16" i="7" a="1"/>
  <c r="L16" i="7" s="1"/>
  <c r="L17" i="7" a="1"/>
  <c r="L17" i="7" s="1"/>
  <c r="L18" i="7" a="1"/>
  <c r="L18" i="7"/>
  <c r="L19" i="7" a="1"/>
  <c r="L19" i="7" s="1"/>
  <c r="L20" i="7" a="1"/>
  <c r="L20" i="7" s="1"/>
  <c r="L21" i="7" a="1"/>
  <c r="L21" i="7" s="1"/>
  <c r="L22" i="7" a="1"/>
  <c r="L22" i="7" s="1"/>
  <c r="L2" i="7" a="1"/>
  <c r="L2" i="7" s="1"/>
  <c r="L3" i="4" a="1"/>
  <c r="L3" i="4" s="1"/>
  <c r="L4" i="4" a="1"/>
  <c r="L4" i="4" s="1"/>
  <c r="L5" i="4" a="1"/>
  <c r="L5" i="4" s="1"/>
  <c r="L6" i="4" a="1"/>
  <c r="L6" i="4"/>
  <c r="L7" i="4" a="1"/>
  <c r="L7" i="4"/>
  <c r="L8" i="4" a="1"/>
  <c r="L8" i="4" s="1"/>
  <c r="L9" i="4" a="1"/>
  <c r="L9" i="4"/>
  <c r="L10" i="4" a="1"/>
  <c r="L10" i="4"/>
  <c r="L11" i="4" a="1"/>
  <c r="L11" i="4"/>
  <c r="L12" i="4" a="1"/>
  <c r="L12" i="4" s="1"/>
  <c r="L13" i="4" a="1"/>
  <c r="L13" i="4" s="1"/>
  <c r="L14" i="4" a="1"/>
  <c r="L14" i="4" s="1"/>
  <c r="L15" i="4" a="1"/>
  <c r="L15" i="4" s="1"/>
  <c r="L16" i="4" a="1"/>
  <c r="L16" i="4" s="1"/>
  <c r="L17" i="4" a="1"/>
  <c r="L17" i="4" s="1"/>
  <c r="L18" i="4" a="1"/>
  <c r="L18" i="4" s="1"/>
  <c r="L19" i="4" a="1"/>
  <c r="L19" i="4" s="1"/>
  <c r="L20" i="4" a="1"/>
  <c r="L20" i="4"/>
  <c r="L21" i="4" a="1"/>
  <c r="L21" i="4" s="1"/>
  <c r="L22" i="4" a="1"/>
  <c r="L22" i="4" s="1"/>
  <c r="F22" i="4" s="1"/>
  <c r="L23" i="4" a="1"/>
  <c r="L23" i="4"/>
  <c r="L24" i="4" a="1"/>
  <c r="L24" i="4" s="1"/>
  <c r="L25" i="4" a="1"/>
  <c r="L25" i="4" s="1"/>
  <c r="L26" i="4" a="1"/>
  <c r="L26" i="4" s="1"/>
  <c r="L27" i="4" a="1"/>
  <c r="L27" i="4"/>
  <c r="L28" i="4" a="1"/>
  <c r="L28" i="4"/>
  <c r="L2" i="4" a="1"/>
  <c r="L2" i="4" s="1"/>
  <c r="L3" i="2" a="1"/>
  <c r="L3" i="2" s="1"/>
  <c r="L4" i="2" a="1"/>
  <c r="L4" i="2" s="1"/>
  <c r="L5" i="2" a="1"/>
  <c r="L5" i="2" s="1"/>
  <c r="L6" i="2" a="1"/>
  <c r="L6" i="2" s="1"/>
  <c r="L7" i="2" a="1"/>
  <c r="L7" i="2" s="1"/>
  <c r="L8" i="2" a="1"/>
  <c r="L8" i="2" s="1"/>
  <c r="L9" i="2" a="1"/>
  <c r="L9" i="2" s="1"/>
  <c r="L10" i="2" a="1"/>
  <c r="L10" i="2" s="1"/>
  <c r="L11" i="2" a="1"/>
  <c r="L11" i="2" s="1"/>
  <c r="L12" i="2" a="1"/>
  <c r="L12" i="2" s="1"/>
  <c r="L13" i="2" a="1"/>
  <c r="L13" i="2" s="1"/>
  <c r="L14" i="2" a="1"/>
  <c r="L14" i="2" s="1"/>
  <c r="L15" i="2" a="1"/>
  <c r="L15" i="2" s="1"/>
  <c r="L16" i="2" a="1"/>
  <c r="L16" i="2" s="1"/>
  <c r="L17" i="2" a="1"/>
  <c r="L17" i="2" s="1"/>
  <c r="L18" i="2" a="1"/>
  <c r="L18" i="2" s="1"/>
  <c r="L19" i="2" a="1"/>
  <c r="L19" i="2" s="1"/>
  <c r="L20" i="2" a="1"/>
  <c r="L20" i="2" s="1"/>
  <c r="L21" i="2" a="1"/>
  <c r="L21" i="2" s="1"/>
  <c r="L22" i="2" a="1"/>
  <c r="L22" i="2" s="1"/>
  <c r="L23" i="2" a="1"/>
  <c r="L23" i="2" s="1"/>
  <c r="L24" i="2" a="1"/>
  <c r="L24" i="2" s="1"/>
  <c r="L25" i="2" a="1"/>
  <c r="L25" i="2" s="1"/>
  <c r="L26" i="2" a="1"/>
  <c r="L26" i="2" s="1"/>
  <c r="L27" i="2" a="1"/>
  <c r="L27" i="2"/>
  <c r="L28" i="2" a="1"/>
  <c r="L28" i="2"/>
  <c r="L29" i="2" a="1"/>
  <c r="L29" i="2" s="1"/>
  <c r="L30" i="2" a="1"/>
  <c r="L30" i="2" s="1"/>
  <c r="L31" i="2" a="1"/>
  <c r="L31" i="2"/>
  <c r="L32" i="2" a="1"/>
  <c r="L32" i="2" s="1"/>
  <c r="L2" i="2" a="1"/>
  <c r="L2" i="2" s="1"/>
  <c r="G19" i="7"/>
  <c r="F19" i="7" s="1"/>
  <c r="E139" i="29"/>
  <c r="E140" i="29"/>
  <c r="E141" i="29"/>
  <c r="E142" i="29"/>
  <c r="E143" i="29"/>
  <c r="E144" i="29"/>
  <c r="E145" i="29"/>
  <c r="E146" i="29"/>
  <c r="E138" i="29"/>
  <c r="E124" i="29"/>
  <c r="E125" i="29"/>
  <c r="E126" i="29"/>
  <c r="E127" i="29"/>
  <c r="E128" i="29"/>
  <c r="E129" i="29"/>
  <c r="E130" i="29"/>
  <c r="E131" i="29"/>
  <c r="E123" i="29"/>
  <c r="E109" i="29"/>
  <c r="E110" i="29"/>
  <c r="E111" i="29"/>
  <c r="E112" i="29"/>
  <c r="E113" i="29"/>
  <c r="E114" i="29"/>
  <c r="E115" i="29"/>
  <c r="E116" i="29"/>
  <c r="E108" i="29"/>
  <c r="E94" i="29"/>
  <c r="E95" i="29"/>
  <c r="E96" i="29"/>
  <c r="E97" i="29"/>
  <c r="E98" i="29"/>
  <c r="E99" i="29"/>
  <c r="E100" i="29"/>
  <c r="E101" i="29"/>
  <c r="E93" i="29"/>
  <c r="E79" i="29"/>
  <c r="E80" i="29"/>
  <c r="E81" i="29"/>
  <c r="E82" i="29"/>
  <c r="E83" i="29"/>
  <c r="E84" i="29"/>
  <c r="E85" i="29"/>
  <c r="E86" i="29"/>
  <c r="E78" i="29"/>
  <c r="E64" i="29"/>
  <c r="E65" i="29"/>
  <c r="E66" i="29"/>
  <c r="E67" i="29"/>
  <c r="E68" i="29"/>
  <c r="E69" i="29"/>
  <c r="E70" i="29"/>
  <c r="E71" i="29"/>
  <c r="E63" i="29"/>
  <c r="E49" i="29"/>
  <c r="E50" i="29"/>
  <c r="E51" i="29"/>
  <c r="E52" i="29"/>
  <c r="E53" i="29"/>
  <c r="E54" i="29"/>
  <c r="E55" i="29"/>
  <c r="E56" i="29"/>
  <c r="E48" i="29"/>
  <c r="E34" i="29"/>
  <c r="E35" i="29"/>
  <c r="E36" i="29"/>
  <c r="E37" i="29"/>
  <c r="E38" i="29"/>
  <c r="E39" i="29"/>
  <c r="E40" i="29"/>
  <c r="E41" i="29"/>
  <c r="E33" i="29"/>
  <c r="E18" i="29"/>
  <c r="E19" i="29"/>
  <c r="E20" i="29"/>
  <c r="E21" i="29"/>
  <c r="E22" i="29"/>
  <c r="E23" i="29"/>
  <c r="E24" i="29"/>
  <c r="E25" i="29"/>
  <c r="E26" i="29"/>
  <c r="J124" i="30"/>
  <c r="J125" i="30"/>
  <c r="F125" i="30"/>
  <c r="E115" i="30"/>
  <c r="F115" i="30"/>
  <c r="G115" i="30"/>
  <c r="H115" i="30"/>
  <c r="I115" i="30"/>
  <c r="J115" i="30"/>
  <c r="D116" i="30"/>
  <c r="E116" i="30"/>
  <c r="F116" i="30"/>
  <c r="G116" i="30"/>
  <c r="H116" i="30"/>
  <c r="I116" i="30"/>
  <c r="J116" i="30"/>
  <c r="D117" i="30"/>
  <c r="E117" i="30"/>
  <c r="F117" i="30"/>
  <c r="G117" i="30"/>
  <c r="H117" i="30"/>
  <c r="I117" i="30"/>
  <c r="J117" i="30"/>
  <c r="D118" i="30"/>
  <c r="E118" i="30"/>
  <c r="F118" i="30"/>
  <c r="G118" i="30"/>
  <c r="H118" i="30"/>
  <c r="I118" i="30"/>
  <c r="J118" i="30"/>
  <c r="D119" i="30"/>
  <c r="E119" i="30"/>
  <c r="F119" i="30"/>
  <c r="G119" i="30"/>
  <c r="H119" i="30"/>
  <c r="I119" i="30"/>
  <c r="J119" i="30"/>
  <c r="D120" i="30"/>
  <c r="E120" i="30"/>
  <c r="F120" i="30"/>
  <c r="G120" i="30"/>
  <c r="H120" i="30"/>
  <c r="I120" i="30"/>
  <c r="J120" i="30"/>
  <c r="D121" i="30"/>
  <c r="E121" i="30"/>
  <c r="F121" i="30"/>
  <c r="G121" i="30"/>
  <c r="H121" i="30"/>
  <c r="I121" i="30"/>
  <c r="J121" i="30"/>
  <c r="D122" i="30"/>
  <c r="E122" i="30"/>
  <c r="F122" i="30"/>
  <c r="G122" i="30"/>
  <c r="H122" i="30"/>
  <c r="I122" i="30"/>
  <c r="J122" i="30"/>
  <c r="D123" i="30"/>
  <c r="E123" i="30"/>
  <c r="F123" i="30"/>
  <c r="G123" i="30"/>
  <c r="H123" i="30"/>
  <c r="I123" i="30"/>
  <c r="J123" i="30"/>
  <c r="E124" i="30"/>
  <c r="F124" i="30"/>
  <c r="G124" i="30"/>
  <c r="H124" i="30"/>
  <c r="I124" i="30"/>
  <c r="C115" i="30"/>
  <c r="C116" i="30"/>
  <c r="C117" i="30"/>
  <c r="C118" i="30"/>
  <c r="C119" i="30"/>
  <c r="C120" i="30"/>
  <c r="C121" i="30"/>
  <c r="C122" i="30"/>
  <c r="C123" i="30"/>
  <c r="C124" i="30"/>
  <c r="B116" i="30"/>
  <c r="B117" i="30"/>
  <c r="B118" i="30"/>
  <c r="B119" i="30"/>
  <c r="B120" i="30"/>
  <c r="B121" i="30"/>
  <c r="B122" i="30"/>
  <c r="B123" i="30"/>
  <c r="B124" i="30"/>
  <c r="B115" i="30"/>
  <c r="C3" i="26"/>
  <c r="C4" i="26" s="1"/>
  <c r="C5" i="26" s="1"/>
  <c r="C6" i="26" s="1"/>
  <c r="C7" i="26" s="1"/>
  <c r="C8" i="26" s="1"/>
  <c r="C9" i="26" s="1"/>
  <c r="C10" i="26" s="1"/>
  <c r="C11" i="26" s="1"/>
  <c r="C12" i="26" s="1"/>
  <c r="C3" i="25"/>
  <c r="C4" i="25" s="1"/>
  <c r="C5" i="25" s="1"/>
  <c r="C6" i="25" s="1"/>
  <c r="C7" i="25" s="1"/>
  <c r="C8" i="25" s="1"/>
  <c r="C9" i="25" s="1"/>
  <c r="C10" i="25" s="1"/>
  <c r="C11" i="25" s="1"/>
  <c r="C12" i="25" s="1"/>
  <c r="C3" i="24"/>
  <c r="C4" i="24" s="1"/>
  <c r="C5" i="24" s="1"/>
  <c r="C6" i="24" s="1"/>
  <c r="C7" i="24" s="1"/>
  <c r="C8" i="24" s="1"/>
  <c r="C9" i="24" s="1"/>
  <c r="C10" i="24" s="1"/>
  <c r="C11" i="24" s="1"/>
  <c r="C12" i="24" s="1"/>
  <c r="C3" i="23"/>
  <c r="C4" i="23" s="1"/>
  <c r="C5" i="23" s="1"/>
  <c r="C6" i="23" s="1"/>
  <c r="C7" i="23" s="1"/>
  <c r="C8" i="23" s="1"/>
  <c r="C9" i="23" s="1"/>
  <c r="C10" i="23" s="1"/>
  <c r="C11" i="23" s="1"/>
  <c r="C12" i="23" s="1"/>
  <c r="G3" i="22"/>
  <c r="F3" i="22" s="1"/>
  <c r="G4" i="22"/>
  <c r="F4" i="22" s="1"/>
  <c r="G5" i="22"/>
  <c r="F5" i="22" s="1"/>
  <c r="G6" i="22"/>
  <c r="F6" i="22" s="1"/>
  <c r="G2" i="22"/>
  <c r="F2" i="22" s="1"/>
  <c r="G3" i="21"/>
  <c r="F3" i="21" s="1"/>
  <c r="G4" i="21"/>
  <c r="F4" i="21" s="1"/>
  <c r="G5" i="21"/>
  <c r="F5" i="21" s="1"/>
  <c r="G6" i="21"/>
  <c r="F6" i="21" s="1"/>
  <c r="G7" i="21"/>
  <c r="F7" i="21" s="1"/>
  <c r="G8" i="21"/>
  <c r="F8" i="21" s="1"/>
  <c r="G9" i="21"/>
  <c r="F9" i="21" s="1"/>
  <c r="G2" i="21"/>
  <c r="F2" i="21" s="1"/>
  <c r="G6" i="20"/>
  <c r="F6" i="20" s="1"/>
  <c r="G3" i="20"/>
  <c r="F3" i="20" s="1"/>
  <c r="G4" i="20"/>
  <c r="F4" i="20" s="1"/>
  <c r="G5" i="20"/>
  <c r="F5" i="20" s="1"/>
  <c r="G2" i="20"/>
  <c r="F2" i="20" s="1"/>
  <c r="G3" i="19"/>
  <c r="F3" i="19" s="1"/>
  <c r="G4" i="19"/>
  <c r="F4" i="19" s="1"/>
  <c r="G5" i="19"/>
  <c r="F5" i="19" s="1"/>
  <c r="G6" i="19"/>
  <c r="F6" i="19" s="1"/>
  <c r="G7" i="19"/>
  <c r="F7" i="19" s="1"/>
  <c r="G8" i="19"/>
  <c r="F8" i="19" s="1"/>
  <c r="G9" i="19"/>
  <c r="F9" i="19" s="1"/>
  <c r="G10" i="19"/>
  <c r="F10" i="19" s="1"/>
  <c r="G11" i="19"/>
  <c r="F11" i="19" s="1"/>
  <c r="G12" i="19"/>
  <c r="G13" i="19"/>
  <c r="G14" i="19"/>
  <c r="G2" i="19"/>
  <c r="F2" i="19" s="1"/>
  <c r="C3" i="18"/>
  <c r="C4" i="18" s="1"/>
  <c r="C5" i="18" s="1"/>
  <c r="C6" i="18" s="1"/>
  <c r="C7" i="18" s="1"/>
  <c r="C8" i="18" s="1"/>
  <c r="C9" i="18" s="1"/>
  <c r="C10" i="18" s="1"/>
  <c r="C11" i="18" s="1"/>
  <c r="C12" i="18" s="1"/>
  <c r="G3" i="12"/>
  <c r="F3" i="12" s="1"/>
  <c r="G4" i="12"/>
  <c r="F4" i="12" s="1"/>
  <c r="G5" i="12"/>
  <c r="F5" i="12" s="1"/>
  <c r="G6" i="12"/>
  <c r="F6" i="12" s="1"/>
  <c r="G7" i="12"/>
  <c r="F7" i="12" s="1"/>
  <c r="G8" i="12"/>
  <c r="F8" i="12" s="1"/>
  <c r="G9" i="12"/>
  <c r="F9" i="12" s="1"/>
  <c r="G10" i="12"/>
  <c r="F10" i="12" s="1"/>
  <c r="G11" i="12"/>
  <c r="F11" i="12" s="1"/>
  <c r="G12" i="12"/>
  <c r="F12" i="12" s="1"/>
  <c r="G2" i="12"/>
  <c r="F2" i="12" s="1"/>
  <c r="C3" i="17"/>
  <c r="C4" i="17" s="1"/>
  <c r="C5" i="17" s="1"/>
  <c r="C6" i="17" s="1"/>
  <c r="C7" i="17" s="1"/>
  <c r="C8" i="17" s="1"/>
  <c r="C9" i="17" s="1"/>
  <c r="C10" i="17" s="1"/>
  <c r="C11" i="17" s="1"/>
  <c r="C12" i="17" s="1"/>
  <c r="G3" i="8"/>
  <c r="F3" i="8" s="1"/>
  <c r="G4" i="8"/>
  <c r="F4" i="8" s="1"/>
  <c r="G5" i="8"/>
  <c r="F5" i="8" s="1"/>
  <c r="G6" i="8"/>
  <c r="F6" i="8" s="1"/>
  <c r="G7" i="8"/>
  <c r="F7" i="8" s="1"/>
  <c r="G8" i="8"/>
  <c r="F8" i="8" s="1"/>
  <c r="G9" i="8"/>
  <c r="F9" i="8" s="1"/>
  <c r="G10" i="8"/>
  <c r="F10" i="8" s="1"/>
  <c r="G11" i="8"/>
  <c r="F11" i="8" s="1"/>
  <c r="G12" i="8"/>
  <c r="F12" i="8" s="1"/>
  <c r="G13" i="8"/>
  <c r="F13" i="8" s="1"/>
  <c r="G14" i="8"/>
  <c r="F14" i="8" s="1"/>
  <c r="G15" i="8"/>
  <c r="F15" i="8" s="1"/>
  <c r="G16" i="8"/>
  <c r="F16" i="8" s="1"/>
  <c r="G17" i="8"/>
  <c r="F17" i="8" s="1"/>
  <c r="G18" i="8"/>
  <c r="F18" i="8" s="1"/>
  <c r="G19" i="8"/>
  <c r="F19" i="8" s="1"/>
  <c r="G20" i="8"/>
  <c r="F20" i="8" s="1"/>
  <c r="G21" i="8"/>
  <c r="F21" i="8" s="1"/>
  <c r="G22" i="8"/>
  <c r="F22" i="8" s="1"/>
  <c r="G23" i="8"/>
  <c r="F23" i="8" s="1"/>
  <c r="G24" i="8"/>
  <c r="F24" i="8" s="1"/>
  <c r="G25" i="8"/>
  <c r="F25" i="8" s="1"/>
  <c r="G26" i="8"/>
  <c r="F26" i="8" s="1"/>
  <c r="G2" i="8"/>
  <c r="F2" i="8" s="1"/>
  <c r="C6" i="16"/>
  <c r="C7" i="16" s="1"/>
  <c r="C8" i="16" s="1"/>
  <c r="C9" i="16" s="1"/>
  <c r="C10" i="16" s="1"/>
  <c r="C11" i="16" s="1"/>
  <c r="C12" i="16" s="1"/>
  <c r="C13" i="16" s="1"/>
  <c r="C14" i="16" s="1"/>
  <c r="C15" i="16" s="1"/>
  <c r="G3" i="7"/>
  <c r="F3" i="7" s="1"/>
  <c r="G4" i="7"/>
  <c r="G5" i="7"/>
  <c r="F5" i="7" s="1"/>
  <c r="G6" i="7"/>
  <c r="G7" i="7"/>
  <c r="F7" i="7" s="1"/>
  <c r="G8" i="7"/>
  <c r="G9" i="7"/>
  <c r="F9" i="7" s="1"/>
  <c r="G10" i="7"/>
  <c r="F10" i="7" s="1"/>
  <c r="G11" i="7"/>
  <c r="F11" i="7" s="1"/>
  <c r="G12" i="7"/>
  <c r="F12" i="7" s="1"/>
  <c r="G13" i="7"/>
  <c r="F13" i="7" s="1"/>
  <c r="G14" i="7"/>
  <c r="G15" i="7"/>
  <c r="F15" i="7" s="1"/>
  <c r="G16" i="7"/>
  <c r="F16" i="7" s="1"/>
  <c r="G17" i="7"/>
  <c r="F17" i="7" s="1"/>
  <c r="G18" i="7"/>
  <c r="F18" i="7" s="1"/>
  <c r="G20" i="7"/>
  <c r="F20" i="7" s="1"/>
  <c r="G21" i="7"/>
  <c r="F21" i="7" s="1"/>
  <c r="G22" i="7"/>
  <c r="G2" i="7"/>
  <c r="F2" i="7" s="1"/>
  <c r="C3" i="15"/>
  <c r="C4" i="15" s="1"/>
  <c r="C5" i="15" s="1"/>
  <c r="C6" i="15" s="1"/>
  <c r="C7" i="15" s="1"/>
  <c r="C8" i="15" s="1"/>
  <c r="C9" i="15" s="1"/>
  <c r="C10" i="15" s="1"/>
  <c r="C11" i="15" s="1"/>
  <c r="C12" i="15" s="1"/>
  <c r="G28" i="4"/>
  <c r="F28" i="4" s="1"/>
  <c r="G3" i="4"/>
  <c r="F3" i="4" s="1"/>
  <c r="G4" i="4"/>
  <c r="F4" i="4" s="1"/>
  <c r="G5" i="4"/>
  <c r="F5" i="4" s="1"/>
  <c r="G6" i="4"/>
  <c r="F6" i="4" s="1"/>
  <c r="G7" i="4"/>
  <c r="F7" i="4" s="1"/>
  <c r="G8" i="4"/>
  <c r="F8" i="4" s="1"/>
  <c r="G9" i="4"/>
  <c r="F9" i="4" s="1"/>
  <c r="G10" i="4"/>
  <c r="F10" i="4" s="1"/>
  <c r="G11" i="4"/>
  <c r="G12" i="4"/>
  <c r="G13" i="4"/>
  <c r="G14" i="4"/>
  <c r="G15" i="4"/>
  <c r="F15" i="4" s="1"/>
  <c r="G16" i="4"/>
  <c r="G17" i="4"/>
  <c r="G18" i="4"/>
  <c r="G19" i="4"/>
  <c r="G20" i="4"/>
  <c r="F20" i="4" s="1"/>
  <c r="G21" i="4"/>
  <c r="F21" i="4" s="1"/>
  <c r="G22" i="4"/>
  <c r="G23" i="4"/>
  <c r="G24" i="4"/>
  <c r="G25" i="4"/>
  <c r="G26" i="4"/>
  <c r="G27" i="4"/>
  <c r="G2" i="4"/>
  <c r="C3" i="14"/>
  <c r="C4" i="14" s="1"/>
  <c r="C5" i="14" s="1"/>
  <c r="C6" i="14" s="1"/>
  <c r="C7" i="14" s="1"/>
  <c r="C8" i="14" s="1"/>
  <c r="C9" i="14" s="1"/>
  <c r="C10" i="14" s="1"/>
  <c r="C11" i="14" s="1"/>
  <c r="C12" i="14" s="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2" i="2"/>
  <c r="F14" i="7" l="1"/>
  <c r="F22" i="7"/>
  <c r="F8" i="7"/>
  <c r="F4" i="7"/>
  <c r="F6" i="7"/>
  <c r="F27" i="4"/>
  <c r="F26" i="4"/>
  <c r="F25" i="4"/>
  <c r="F24" i="4"/>
  <c r="F23" i="4"/>
  <c r="F11" i="4"/>
  <c r="F16" i="4"/>
  <c r="F14" i="4"/>
  <c r="F13" i="4"/>
  <c r="F19" i="4"/>
  <c r="F12" i="4"/>
  <c r="F2" i="4"/>
  <c r="F18" i="4"/>
  <c r="F17" i="4"/>
  <c r="F7" i="2"/>
  <c r="F6" i="2"/>
  <c r="F2" i="2"/>
  <c r="F16" i="2"/>
  <c r="F10" i="2"/>
  <c r="F13" i="2"/>
  <c r="F12" i="2"/>
  <c r="F17" i="2"/>
  <c r="F15" i="2"/>
  <c r="F11" i="2"/>
  <c r="F14" i="2"/>
  <c r="F18" i="2"/>
  <c r="F9" i="2"/>
  <c r="F4" i="2"/>
  <c r="F30" i="2"/>
  <c r="F29" i="2"/>
  <c r="F3" i="2"/>
  <c r="F32" i="2"/>
  <c r="F27" i="2"/>
  <c r="F26" i="2"/>
  <c r="F25" i="2"/>
  <c r="F24" i="2"/>
  <c r="F22" i="2"/>
  <c r="F21" i="2"/>
  <c r="F31" i="2"/>
  <c r="F28" i="2"/>
  <c r="F20" i="2"/>
  <c r="F8" i="2"/>
  <c r="F5" i="2"/>
  <c r="F23" i="2"/>
  <c r="F19"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<sst xmlns="http://schemas.openxmlformats.org/spreadsheetml/2006/main" count="2733" uniqueCount="646">
  <si>
    <t>Serbia</t>
  </si>
  <si>
    <t>North Macedonia</t>
  </si>
  <si>
    <t>Montenegro</t>
  </si>
  <si>
    <t>Kosovo</t>
  </si>
  <si>
    <t>Albania</t>
  </si>
  <si>
    <t>Hungary</t>
  </si>
  <si>
    <t>Croatia</t>
  </si>
  <si>
    <t>Slovenia</t>
  </si>
  <si>
    <t>https://www.politico.eu/article/slovenia-to-build-croatia-border-fence-miro-cerar-migrants-control/</t>
  </si>
  <si>
    <t>Country</t>
  </si>
  <si>
    <t>Country ID</t>
  </si>
  <si>
    <t>https://www.dw.com/en/slovenia-blocks-flow-of-migrants-entering-its-borders/a-18790663</t>
  </si>
  <si>
    <t>https://www.theguardian.com/world/2015/oct/21/slovenia-calls-in-army-refugee-crisis-borders-europe</t>
  </si>
  <si>
    <t>Slovenia sets daily intake limit</t>
  </si>
  <si>
    <t>Parliament authorizes military assistance</t>
  </si>
  <si>
    <t>https://www.dw.com/en/slovenia-asks-for-eu-help-to-tackle-refugee-crisis/a-18798930</t>
  </si>
  <si>
    <t>Slovenia Requests EU Assistance</t>
  </si>
  <si>
    <t>Slovenia erects fence on Croatian border</t>
  </si>
  <si>
    <t>Policy Date</t>
  </si>
  <si>
    <t>Army enabled to control the migrant movements</t>
  </si>
  <si>
    <t>https://www.dw.com/en/slovenia-deploys-army-to-schengen-zone-border-to-tackle-refugee-influx/a-19066844</t>
  </si>
  <si>
    <t>Slovenia sets new daily intake limit</t>
  </si>
  <si>
    <t>https://www.theguardian.com/world/2016/feb/26/croatia-slovenia-limits-refugee-numbers-europe-greece</t>
  </si>
  <si>
    <t>Slovenia toughens asylum measures</t>
  </si>
  <si>
    <t>https://www.dw.com/en/slovenia-approves-new-legislation-in-effort-to-stem-refugee-flow/a-19095793</t>
  </si>
  <si>
    <t>Slovenia tightens its border controls</t>
  </si>
  <si>
    <t>https://time.com/4252013/slovenia-serbia-balkans-route-refugees-migrants-eu/</t>
  </si>
  <si>
    <t>The Law on International Protection</t>
  </si>
  <si>
    <t>https://migrant-integration.ec.europa.eu/index.php/country-governance/governance-migrant-integration-slovenia_en</t>
  </si>
  <si>
    <t>Amendments to Aliens Act</t>
  </si>
  <si>
    <t>https://slovenia.iom.int/news/slovenias-first-refugee-resettlement-programme-completed-after-arrival-last-syrian-family-0</t>
  </si>
  <si>
    <t>Framework Agreement for Refugee Resettlement Programme (IOM, UN and Slovenia)</t>
  </si>
  <si>
    <t>First Refugee Resettlement Programme Completed</t>
  </si>
  <si>
    <t>The Office for the Support and Integration of Migrants is established</t>
  </si>
  <si>
    <t>https://migrant-integration.ec.europa.eu/country-governance/governance-migrant-integration-slovenia_en</t>
  </si>
  <si>
    <t>Slovenian announces extension of 40km border fence on Slovenia–Croatia border</t>
  </si>
  <si>
    <t>https://www.aljazeera.com/news/2019/8/22/slovenia-to-extend-border-fence-to-prevent-refugee-crossings</t>
  </si>
  <si>
    <t>https://ecre.org/aida-2020-update-slovenia</t>
  </si>
  <si>
    <t>Suspension of Slovenia’s asylum procedure due to COVID‑19 lockdown (until May)</t>
  </si>
  <si>
    <t>https://ecre.org/slovenia-national-assembly-approves-legislation-eroding-the-rights-of-asylum-seekers</t>
  </si>
  <si>
    <t>Parliament approves amendments to the International Protection Act and Foreigners Act (introducing a “complex crisis” clause)</t>
  </si>
  <si>
    <t>Amendments to IPA and Foreigners Act enter into force (allowing border closures under “complex crisis” conditions)</t>
  </si>
  <si>
    <t>https://ecre.org/aida-2021-update-slovenia</t>
  </si>
  <si>
    <t>Government signals gradual removal of Slovenia–Croatia border fence (razor wire)</t>
  </si>
  <si>
    <t>https://apnews.com/article/migration-austria-western-europe-croatia-791cb1b95334fc1055f98e2b31057951</t>
  </si>
  <si>
    <t>Slovenia agrees to resettle 50 Syrian and Afghan refugees from Türkiye (UNHCR resettlement program)</t>
  </si>
  <si>
    <t>https://www.gov.si/en/news/2022-12-01-26th-regular-government-session</t>
  </si>
  <si>
    <t>Parliament approves amendments to Employment of Foreigners Act (speed up recruitment; asylum seekers access labour market after 3 months)</t>
  </si>
  <si>
    <t>https://www.gov.si/en/news/2023-03-28-changing-the-law-to-speed-up-the-recruitment-of-foreigners</t>
  </si>
  <si>
    <t>Temporary border controls reintroduced with Croatia and Hungary (21–30 Oct 2023, citing security threats)</t>
  </si>
  <si>
    <t>First group of 23 Syrian refugees arrives under Slovenia’s 50-person Türkiye resettlement scheme</t>
  </si>
  <si>
    <t>Interior Minister announces extension of border controls with Croatia and Hungary by 6 months (to Dec 2024)</t>
  </si>
  <si>
    <t>Ordinance issued extending temporary border checks with Croatia and Hungary until 21 Dec 2024</t>
  </si>
  <si>
    <t>Government prolongs temporary border controls with Croatia and Hungary until 21 June 2025</t>
  </si>
  <si>
    <t>Slovenia, Italy and Croatia sign memorandum on joint external-border patrols (to replace internal checks)</t>
  </si>
  <si>
    <t>https://www.reuters.com/world/europe/slovenia-deploys-police-borders-with-croatia-hungary-2023-10-21</t>
  </si>
  <si>
    <t>https://www.gov.si/en/news/2023-12-15-slovenia-accepts-refugees-under-the-resettlement-project</t>
  </si>
  <si>
    <t>https://www.gov.si/en/news/2024-05-22-slovenia-to-extend-control-at-croatian-and-hungarian-borders-by-six-months</t>
  </si>
  <si>
    <t>https://www.gov.si/en/news/2024-06-19-border-controls-with-croatia-and-hungary-extended-until-21-december-2024</t>
  </si>
  <si>
    <t>https://www.gov.si/en/news/2024-12-20-temporary-control-on-internal-borders-with-croatia-and-hungary-prolonged-until-21-june-2025</t>
  </si>
  <si>
    <t>https://sloveniatimes.com/42279/slovenia-croatia-and-italy-agree-joint-border-patrols</t>
  </si>
  <si>
    <t>https://www.gov.si/en/news/2019-07-18-government-adopts-a-strategy-with-regard-to-migrations</t>
  </si>
  <si>
    <t xml:space="preserve">Joint Cooperation Platform conference </t>
  </si>
  <si>
    <t>https://www.gov.si/en/news/2022-06-22-return-is-one-of-key-pillars-of-an-effective-migration-policy/</t>
  </si>
  <si>
    <t>Policy / Decision / Event</t>
  </si>
  <si>
    <t>Initiation of a New Migration Strategy</t>
  </si>
  <si>
    <t>https://www.gov.si/en/news/2023-01-18-minister-sanja-ajanovic-hovnik-the-aim-is-to-prepare-an-effective-migration-strategy/</t>
  </si>
  <si>
    <t>Implementation of Stricter Language Requirements</t>
  </si>
  <si>
    <t>https://www.fragomen.com/insights/slovenia-relaxed-immigration-rules-implemented-but-stricter-language-requirements-forthcoming.html</t>
  </si>
  <si>
    <t>Establishment of Temporary Facilities for Migrants at the Croatia Border</t>
  </si>
  <si>
    <t>https://apnews.com/article/1a1a931125f6f9207c9c3e49e11ef1f3</t>
  </si>
  <si>
    <t>Category</t>
  </si>
  <si>
    <t>Date</t>
  </si>
  <si>
    <t>https://balkaninsight.com/2015/07/16/croatia-to-receive-and-accommodate-550-refugees</t>
  </si>
  <si>
    <t>Croatia agrees to take in 550 refugees (400 via EU relocation, 150 via resettlement)</t>
  </si>
  <si>
    <t>https://emn.gov.hr/UserDocsImages/EMN_kratka_izvjesca/2015_emn_country_factsheet_hr_final.pdf</t>
  </si>
  <si>
    <t>Act on International and Temporary Protection (OG 70/15) enters into force, transposing EU asylum acquis</t>
  </si>
  <si>
    <t>Opatovac transit reception centre (capacity ~5,000) opened near Serbia border</t>
  </si>
  <si>
    <t>Deployed 6 Croatian experts to Lesvos, Greece to assist with refugee processing</t>
  </si>
  <si>
    <t>https://emn.gov.hr/UserDocsImages/EMN_kratka_izvjesca/2016_emn_country_factsheet_hr_final.pdf</t>
  </si>
  <si>
    <t>Slavonski Brod winter reception centre opened (heated, capacity ~15,000) and Opatovac closed</t>
  </si>
  <si>
    <t>Transit reception centres built in Tovarnik (Serbia border) and Trilj</t>
  </si>
  <si>
    <t>https://www.theguardian.com/world/2016/mar/09/slovenia-and-croatia-ban-the-transit-of-refugees</t>
  </si>
  <si>
    <t>https://www.theguardian.com/world/2018/dec/17/croatia-violating-eu-law-by-sending-back-asylum-seekers-to-bosnia</t>
  </si>
  <si>
    <t>https://balkaninsight.com/2019/05/10/croatia-war-veterans-threaten-block-roads-over-asylum-centre</t>
  </si>
  <si>
    <t>https://www.ecre.org/wp-content/uploads/2020/05/COVID-INFO-28-May.pdf</t>
  </si>
  <si>
    <t>https://www.consilium.europa.eu/en/press/press-releases/2022/12/08/schengen-area-council-decides-to-lift-border-controls-with-croatia</t>
  </si>
  <si>
    <t>https://emn.gov.hr/news/amendments-to-international-and-temporary-protection-act-entered-into-force/964</t>
  </si>
  <si>
    <t>https://asylumineurope.org/reports/country/croatia/asylum-procedure/access-procedure-and-registration/access-territory-and-push-backs</t>
  </si>
  <si>
    <t>https://www.hrw.org/news/2023/05/03/croatia-ongoing-violent-border-pushbacks</t>
  </si>
  <si>
    <t>https://balkaninsight.com/2023/05/23/bosnia-data-contradicts-croatian-claim-about-migrant-refugee-readmissions</t>
  </si>
  <si>
    <t>Transit ban on refugees: Croatia follows Slovenia and denies transit to most refugees, only allowing those with visas or asylum claims</t>
  </si>
  <si>
    <t>Relocated refugees arrive: 4 Syrians (from Italy, 4 Jul), 10 Syrians (from Greece, 22 Aug), 5 Eritreans (from Italy, 3 Oct)</t>
  </si>
  <si>
    <t>Pushback scandal exposed: Guardian reports hidden-camera footage of Croatian police returning groups of asylum seekers (54 incidents, 368 people) into Bosnia</t>
  </si>
  <si>
    <t>Planned asylum centre canceled: Government abandons building a new centre in Mala Gorica (Petrinja area) after local veterans threaten protests</t>
  </si>
  <si>
    <t>COVID border closure: National Civil Protection temporarily prohibits crossing state borders (except for limited cases)</t>
  </si>
  <si>
    <t>Asylum center lockdown: Reception centres in Zagreb and Kutina are locked down; asylum seekers cannot leave, NGOs barred</t>
  </si>
  <si>
    <t>Schengen accession: Croatia joins the Schengen area (Council Dec 2022 decision); internal border checks lifted</t>
  </si>
  <si>
    <t>Asylum law reforms: Parliament adopts amendments to the International and Temporary Protection Act (effective 1 Apr 2023)</t>
  </si>
  <si>
    <t>EU relocation: Croatia accepts 10 relocated asylum applicants (Ivory Coast families) from Italy</t>
  </si>
  <si>
    <t>Pushbacks documented (HRW): Human Rights Watch reports ongoing, violent pushbacks of migrants to Bosnia</t>
  </si>
  <si>
    <t>Migrants “readmitted” to BiH: Surge in returns of refugees/migrants to Bosnia under a bilateral readmission agreement (3,433 people 2017–2023)</t>
  </si>
  <si>
    <t>Opening of "One-Stop Shop" for Refugees and Migrants in Zagreb</t>
  </si>
  <si>
    <t>https://balkaninsight.com/2024/09/19/croatias-capital-opens-one-stop-shop-for-refugees-asylum-seekers/</t>
  </si>
  <si>
    <t>Reports of Croatian police burning asylum seekers' belongings during pushbacks</t>
  </si>
  <si>
    <t>https://www.theguardian.com/global-development/2024/oct/10/photos-croatia-police-phones-passports-asylum-seekers</t>
  </si>
  <si>
    <t>Renovation and expansion of Kutina Reception Centre</t>
  </si>
  <si>
    <t>https://ecre.org/2022-update-aida-country-report-croatia/</t>
  </si>
  <si>
    <t>Refugees file lawsuit to Croatia's Constitutional Court over ineffective investigation</t>
  </si>
  <si>
    <t>https://www.ecchr.eu/en/press-release/refugees-file-lawsuit-to-croatias-constitutional-court/</t>
  </si>
  <si>
    <t>https://hudoc.echr.coe.int/fre#{%22itemid%22:[%22001-213213%22]}</t>
  </si>
  <si>
    <t>ECtHR ruling in M.H. and Others v. Croatia on unlawful pushbacks</t>
  </si>
  <si>
    <t>ECtHR ruling in DARAIBOU v. CROATIA on violation of Article 2 of the Convention</t>
  </si>
  <si>
    <t>https://hudoc.echr.coe.int/eng#{%22itemid%22:[%22001-222311%22]}</t>
  </si>
  <si>
    <t>https://time.com/4039742/croatia-border-crossings-closed-refugees-migrant-crisis</t>
  </si>
  <si>
    <t>Croatia closed seven of its eight border crossings with Serbia after an influx of approximately 10,000 refugees in two days</t>
  </si>
  <si>
    <t>https://pace.coe.int/en/files/30216/html</t>
  </si>
  <si>
    <t>Croatian authorities acknowledged that some police officers participated in illegal pushback incidents at the border with Bosnia and Herzegovina</t>
  </si>
  <si>
    <t>https://ecre.org/aida-country-report-on-croatia-2023-update</t>
  </si>
  <si>
    <t>The City Assembly of Zagreb adopted a new Action Plan for the integration of applicants for international protection and foreign workers for 2023 and 2024</t>
  </si>
  <si>
    <t>Border Control</t>
  </si>
  <si>
    <t>Crisis Response</t>
  </si>
  <si>
    <t>International Cooperation</t>
  </si>
  <si>
    <t>Legislative Framework</t>
  </si>
  <si>
    <t>https://asylumineurope.org/reports/country/croatia/asylum-procedure/access-procedure-and-registration/access-territory-and-push-backs/</t>
  </si>
  <si>
    <t>Memorandum of Understanding signed with Frontex</t>
  </si>
  <si>
    <t>Adoption of the Strategy on Migration</t>
  </si>
  <si>
    <t>Bosnia and Herzegovina</t>
  </si>
  <si>
    <t>Act on Foreigners (Official Gazette No. 88/15)</t>
  </si>
  <si>
    <t>https://natlex.ilo.org/dyn/natlex2/r/natlex/fe/details?cs=1MZCSFvcFNOJzO2BZ-hVVIe0Pom8NnVD4UDhECJUW3BS3jUcfc-cD-IeRktfzNGsdyLUUWiI2-tXi6ydcI-43Rg&amp;p3_isn=102209</t>
  </si>
  <si>
    <t>https://wpsfocalpointsnetwork.org/wp-content/uploads/2021/07/Bosnia-and-Herzegovina-2018-2022.pdf</t>
  </si>
  <si>
    <t>Action Plan for Implementation of UNSCR 1325 on Women, Peace and Security in Bosnia and Herzegovina</t>
  </si>
  <si>
    <t>http://refworld.org/legal/legislation/natlegbod/2016/en/123253</t>
  </si>
  <si>
    <t>Law No. 11 of 2016, Law on Asylum</t>
  </si>
  <si>
    <t>https://www.refworld.org/legal/legislation/natlegbod/2016/en/123226</t>
  </si>
  <si>
    <t>Bylaw No. 16 of 2016, Law on Asylum</t>
  </si>
  <si>
    <t>Strategy in the area of migration and asylum policy and the Action Plan for the period 2016-2020</t>
  </si>
  <si>
    <t>https://msb.gov.ba/vijesti/saopstenja/default.aspx?id=14351&amp;langTag=en-US</t>
  </si>
  <si>
    <t>https://www.refworld.org/legal/decreees/natlegbod/2021/bs/147521</t>
  </si>
  <si>
    <t>Bylaw No. 75 of 2021 (Amendments to the Bylaw on Asylum)</t>
  </si>
  <si>
    <t>Migration and Asylum Strategy 2021-2025</t>
  </si>
  <si>
    <t>https://msb.gov.ba/PDF/120120244.pdf</t>
  </si>
  <si>
    <t>Amendments to Law on Foreigners (Official Gazette No. 63)</t>
  </si>
  <si>
    <t>https://advokatskafirmasajic.com/blog/the-law-on-amendments-to-the-law-on-foreigners-of-bih-published-in-the-official-gazette-of-bih-no-63-of-15-september-2023-entered-into-force-on-september-23-2023/</t>
  </si>
  <si>
    <t>https://movements-journal.org/issues/08.balkanroute/08.hromadzic--notes-from-the-field.html</t>
  </si>
  <si>
    <t>Bihać emerges as the new hotspot</t>
  </si>
  <si>
    <t>https://balkaninsight.com/2020/12/23/bosnias-troubled-lipa-camp-set-alight-on-closure-day/</t>
  </si>
  <si>
    <t>Lipa camp destroyed by fire</t>
  </si>
  <si>
    <t>https://bih.iom.int/news/european-union-supports-establishment-new-temporary-reception-centre-lipa</t>
  </si>
  <si>
    <t>New container-style Lipa reception centre opens</t>
  </si>
  <si>
    <t>https://www.hrw.org/news/2021/01/21/bosnia-and-herzegovina-migrants-left-cold</t>
  </si>
  <si>
    <t>HRW: “Migrants left in the cold” report</t>
  </si>
  <si>
    <t>https://balkaninsight.com/2022/12/09/bosnia-to-tighten-border-controls-in-line-with-eu-demands/</t>
  </si>
  <si>
    <t>Decision to tighten border controls</t>
  </si>
  <si>
    <t>https://www.euractiv.com/section/politics/news/migrants-take-new-balkan-route-through-bosnia</t>
  </si>
  <si>
    <t>Official “closure” of the Western Balkan route at the Croatia–BiH border, sharply reducing unregulated transit crossings</t>
  </si>
  <si>
    <t>https://balkaninsight.com/2018/06/19/bosnia-s-police-border-getting-new-200-members-06-19-2018</t>
  </si>
  <si>
    <t>https://enlargement.ec.europa.eu/document/download/fa9da504-4ecb-4317-b583-c9fff0b833b2_en</t>
  </si>
  <si>
    <t>Mandate to negotiate a Frontex Status Agreement</t>
  </si>
  <si>
    <t>https://enlargement.ec.europa.eu/document/download/451db011-6779-40ea-b34b-a0eeda451746_en?filename=Bosnia+and+Herzegovina+Report+2024.pdf</t>
  </si>
  <si>
    <t>Draft Law on Border Control finalized</t>
  </si>
  <si>
    <t>https://mvp.gov.ba/HTML/PDFDoc/Konzularno/Rulebook%20on%20entry%20and%20stay%20of%20aliens.pdf</t>
  </si>
  <si>
    <t>Rulebook on Entry and Stay of Aliens adopted</t>
  </si>
  <si>
    <t>Stabilisation and Association Agreement (SAA) enters into force</t>
  </si>
  <si>
    <t>https://enlargement.ec.europa.eu/enlargement-policy/bosnia-and-herzegovina_en</t>
  </si>
  <si>
    <t>https://enlargement.ec.europa.eu/system/files/2018-12/20161109_report_bosnia_and_herzegovina.pdf</t>
  </si>
  <si>
    <t>Protocol on Technical Adaptation of SAA initialled</t>
  </si>
  <si>
    <t>https://enlargement.ec.europa.eu/document/download/b20c3204-68d0-47e7-b344-5e2562a3adce_en</t>
  </si>
  <si>
    <t>Readmission Agreement with Pakistan enters into force (implementing protocol)</t>
  </si>
  <si>
    <t>https://www.iom.int/sites/g/files/tmzbdl2616/files/country_appeal/file/IOM-European-Migration-Crisis-WB-Response-Plan-Appeal.pdf</t>
  </si>
  <si>
    <t>Opening of Preševo and Miratovac Reception Centres</t>
  </si>
  <si>
    <t>https://www.unhcr.org/mt/3087-unhcr-chief-says-absolute-nonsense-blame-refugees-terror.html</t>
  </si>
  <si>
    <t xml:space="preserve">	Serbia pledges to keep borders open despite regional closures</t>
  </si>
  <si>
    <t>Adoption of the Law on Asylum and Temporary Protection</t>
  </si>
  <si>
    <t>https://www.refworld.org/legal/legislation/natlegbod/2018/en/123545</t>
  </si>
  <si>
    <t>https://www.refworld.org/legal/decreees/natlegbod/2018/en/123509</t>
  </si>
  <si>
    <t>Rulebook on House Rules in Asylum Centres</t>
  </si>
  <si>
    <t>https://www.srbija.gov.rs/vest/en/150705/government-adopts-economic-migration-strategy.php</t>
  </si>
  <si>
    <t xml:space="preserve">	Establishment of the Coordination Body and launch of the Economic Migration Strategy</t>
  </si>
  <si>
    <t>https://reliefweb.int/report/serbia/between-closed-borders-2020-21-joint-agency-paper-refugees-and-migrants-serbia-2020</t>
  </si>
  <si>
    <t>Temporary closure of Serbia’s borders due to COVID-19</t>
  </si>
  <si>
    <t>https://balkaninsight.com/2020/03/17/serbia-restricts-movement-for-migrants-asylum-seekers</t>
  </si>
  <si>
    <t>Restrictions on movement for migrants and asylum-seekers in reception centres</t>
  </si>
  <si>
    <t>https://www.minrzs.gov.rs/sites/default/files/2021-02/ENG_%20Strategija%20ekonomske%20migracije%202021-2027-30_10%20%28002%29.pdf</t>
  </si>
  <si>
    <t>https://home-affairs.ec.europa.eu/news/eu-signs-agreement-serbia-strengthen-collaboration-migration-and-border-management-2024-06-25_en</t>
  </si>
  <si>
    <t>EU–Serbia Operational Cooperation Agreement with Frontex</t>
  </si>
  <si>
    <t>https://www.reuters.com/world/europe/slovak-pm-fico-says-fight-against-illegal-migration-an-absolute-priority-2024-10-22</t>
  </si>
  <si>
    <t>Serbia refuses to build migrant detention centres but agrees joint border patrols with Hungary and Slovakia (Komárno meeting)</t>
  </si>
  <si>
    <t>https://apnews.com/article/583b81ee9a539e3788fae7b5481284ac</t>
  </si>
  <si>
    <t>Hundreds of police deployed to Hungary border zone after deadly migrant shooting</t>
  </si>
  <si>
    <t>https://immigratetoserbia.com/streamlining-work-permits-and-residence-for-foreigners-in-serbia-recent-legislative-changes</t>
  </si>
  <si>
    <t>Legislative reforms streamlining work permits &amp; residence for foreigners</t>
  </si>
  <si>
    <t>https://kirs.gov.rs/eng/asylum/overview-of-activities-during-the-increased-influx-of-migrants</t>
  </si>
  <si>
    <t>Initiation of Migrant Transfer Regime to Croatia</t>
  </si>
  <si>
    <t>https://www.eeas.europa.eu/node/39881_en</t>
  </si>
  <si>
    <t>EU Grants €28 Million for Border Management and €16 Million for Refugee Support</t>
  </si>
  <si>
    <t>https://www.mena-researchcenter.org/new-migration-policy-on-the-balkans/</t>
  </si>
  <si>
    <t>Termination of Visa-Free Regime with Iran</t>
  </si>
  <si>
    <t>https://www.theguardian.com/global-development/2024/feb/22/videos-show-migrants-stripped-of-clothing-in-freezing-temperatures-at-serbian-border</t>
  </si>
  <si>
    <t>Allegations of Migrant Mistreatment at Serbian Border</t>
  </si>
  <si>
    <t>https://ecre.org/balkan-route-increased-arrivals-in-serbia-amid-evictions-and-raids-croatia-slovenia-and-austria-introduce-internal-border-checks-to-curb-migration-migrants-report-being-treated-like-anima/</t>
  </si>
  <si>
    <t>Increased Arrivals Amid Evictions and Raids</t>
  </si>
  <si>
    <t>https://www.aljazeera.com/news/2015/9/25/tensions-between-croatia-and-serbia-rise-over-refugees</t>
  </si>
  <si>
    <t>Serbia Bans Croatian Imports Amid Refugee Crisis</t>
  </si>
  <si>
    <t>https://www.theguardian.com/world/2015/sep/15/hungary-strict-new-border-controls-crackdown-refugees-serbia</t>
  </si>
  <si>
    <t>Hungary Implements Strict Border Controls, Affecting Serbia</t>
  </si>
  <si>
    <t>https://www.theguardian.com/world/2015/oct/19/refugees-stranded-on-serbian-croatian-border</t>
  </si>
  <si>
    <t>Over 10.000 Migrants Stranded on Serbian-Croatian Border</t>
  </si>
  <si>
    <t>https://asylumineurope.org/reports/country/serbia/asylum-procedure/general/short-overview-asylum-procedure/</t>
  </si>
  <si>
    <t>Finalization of Amendments to the Asylum Act</t>
  </si>
  <si>
    <t>First travel documents were issued to persons granted refugee status</t>
  </si>
  <si>
    <t>https://asylumineurope.org/reports/country/serbia/overview-main-changes-previous-report-update/</t>
  </si>
  <si>
    <t>Serbia Becomes Observer Country to the European Migration Network</t>
  </si>
  <si>
    <t>https://home-affairs.ec.europa.eu/news/serbia-becomes-observer-country-european-migration-network-2023-03-16_en</t>
  </si>
  <si>
    <t>https://www.srbija.gov.rs/vest/en/235342/serbia-a-key-partner-for-eu-in-managing-migration-flows.php</t>
  </si>
  <si>
    <t>Serbia Recognized as Key Partner for EU in Managing Migration Flows</t>
  </si>
  <si>
    <t>Expulsion of Foreign Activists from Serbia</t>
  </si>
  <si>
    <t>https://cadenaser.com/nacional/2025/01/24/mas-de-300-organizaciones-sociales-europeas-denuncian-la-expulsion-de-activistas-de-serbia-cadena-ser/</t>
  </si>
  <si>
    <t>State of emergency declared in border regions</t>
  </si>
  <si>
    <t>https://www.osw.waw.pl/en/publikacje/analyses/2015-08-26/macedonia-and-migrant-crisis</t>
  </si>
  <si>
    <t>Temporary 72-hour transit visas introduced</t>
  </si>
  <si>
    <t>https://www.reuters.com/article/sustainability/police-migrants-clash-on-macedonia-border-soldiers-build-fence-idUSKBN0TH04L</t>
  </si>
  <si>
    <t>Construction of the first razor-wire fence on the Greek border</t>
  </si>
  <si>
    <t>https://www.theguardian.com/world/2015/nov/23/stranded-migrants-sew-mouths-shut-in-protest-against-balkan-border-controls</t>
  </si>
  <si>
    <t>Tightened controls at Greek border points</t>
  </si>
  <si>
    <t>https://www.refworld.org/legal/decreees/natlegbod/2018/en/121462</t>
  </si>
  <si>
    <t>Law on International and Temporary Protection of 2018</t>
  </si>
  <si>
    <t>Resolution on Migration Policy 2021–2025 adopted</t>
  </si>
  <si>
    <t>https://northmacedonia.un.org/en/173666-new-resolution-migration-policy-2021-2025-was-adopted-parliament</t>
  </si>
  <si>
    <t>https://www.consilium.europa.eu/en/press/press-releases/2022/10/13/border-management-council-decides-to-sign-agreement-with-north-macedonia-on-frontex-operational-cooperation</t>
  </si>
  <si>
    <t>Administrative Arrangement for Frontex operational activities signed</t>
  </si>
  <si>
    <t>https://index.statelessness.eu/news/north-macedonia-takes-positive-step-towards-ending-statelessness?language=en</t>
  </si>
  <si>
    <t>Amendments to Civil Registration Law to prevent statelessness</t>
  </si>
  <si>
    <t>https://www.globaldetentionproject.org/29-may-2020-macedonia</t>
  </si>
  <si>
    <t>State of Emergency &amp; Border Closures due to COVID-19</t>
  </si>
  <si>
    <t>https://euaa.europa.eu/sites/default/files/2022-02/MK_RM_Cover.pd</t>
  </si>
  <si>
    <t>EASO–North Macedonia Roadmap for CEAS Alignment</t>
  </si>
  <si>
    <t>IOM Country Strategy for North Macedonia 2022–2025 launched</t>
  </si>
  <si>
    <t>https://north-macedonia.iom.int/sites/g/files/tmzbdl2301/files/documents/2023-02/IOM%20Country%20Strategy%20for%20North%20Macedonia%202022-2025.pdf</t>
  </si>
  <si>
    <t>Rating</t>
  </si>
  <si>
    <t>Impact on Other Countries</t>
  </si>
  <si>
    <t>Impact on Migrants</t>
  </si>
  <si>
    <t>Impact on EU Relations</t>
  </si>
  <si>
    <t>Year</t>
  </si>
  <si>
    <t>Impact on Country</t>
  </si>
  <si>
    <t>Urgent Measures Action Plan on Illegal Migration &amp; Border Security</t>
  </si>
  <si>
    <t>Government adopts Economic Migration Strategy 2021–2027</t>
  </si>
  <si>
    <t>https://www.ibtimes.com/european-refugee-crisis-hungary-enacts-tough-new-laws-closes-key-border-crossing-2096891</t>
  </si>
  <si>
    <t>Completion of border fence with Serbia, Enacts tough new laws</t>
  </si>
  <si>
    <t>https://www.nytimes.com/2015/10/17/world/europe/hungary-croatia-refugees-migrants.html?_r=1</t>
  </si>
  <si>
    <t>Hungary seals its 216-mile border with Croatia after completion of a fence</t>
  </si>
  <si>
    <t>https://www.bbc.com/news/world-europe-36786438</t>
  </si>
  <si>
    <t>Hungary deploys 10,000 soldiers and police to push migrants back over border into Serbia</t>
  </si>
  <si>
    <t>Hungarian referendum rejects EU migrant quotas with 98.36% "No" votes</t>
  </si>
  <si>
    <t>https://www.bbc.com/news/world-europe-37528325</t>
  </si>
  <si>
    <t>https://www.theguardian.com/world/2018/jun/20/hungary-passes-anti-immigrant-stop-soros-laws</t>
  </si>
  <si>
    <t>Hungary passes anti-immigrant 'Stop Soros' laws</t>
  </si>
  <si>
    <t>https://ecre.org/hungary-abolishment-of-transit-zone-following-cjeu-ruling/</t>
  </si>
  <si>
    <t>Hungary: Abolishment of Transit Zone Following CJEU Ruling</t>
  </si>
  <si>
    <t>https://fra.europa.eu/sites/default/files/fra_uploads/fra-2021-migration-bulletin-2_en.pdf</t>
  </si>
  <si>
    <t>Frontex Operations Suspended</t>
  </si>
  <si>
    <t>https://helsinki.hu/en/wp-content/uploads/sites/2/2024/04/HHC_Hungary_states_of_exception_20240402.pdf</t>
  </si>
  <si>
    <t>State of danger declared due to Covid (keeps extending from 2015)</t>
  </si>
  <si>
    <t>Hungary’s immigration reforms</t>
  </si>
  <si>
    <t>https://travelobiz.com/hungary-immigration-updates-2025-guest-worker-limits-new-exams/</t>
  </si>
  <si>
    <t>Hungary rejects EU's migration pact</t>
  </si>
  <si>
    <t>https://abouthungary.hu/news-in-brief/state-secretary-hungary-rejects-eu-s-migration-pact-because-it-goes-against-national-interests</t>
  </si>
  <si>
    <t>https://www.amnesty.org/fr/wp-content/uploads/2021/05/EUR2758552017ENGLISH.pdf</t>
  </si>
  <si>
    <t>Hungarian Parliament adopted comprehensive amendments to five different Hungarian asylum laws</t>
  </si>
  <si>
    <t>https://www.bbc.com/news/world-europe-33244800</t>
  </si>
  <si>
    <t>Hungary suspends key EU asylum rule</t>
  </si>
  <si>
    <t>Policy allowing police to push back migrants</t>
  </si>
  <si>
    <t>https://hungary.iom.int/european-migration-crisis-and-hungary</t>
  </si>
  <si>
    <t>Government of Montenegro adopted the Action Plan</t>
  </si>
  <si>
    <t>http://arhiva.skupstina.me/images/dokumenti/biblioteka-i-istrazivanje/2017/17.pdf</t>
  </si>
  <si>
    <t>Law on foreigners</t>
  </si>
  <si>
    <t>https://www.coe.int/en/web/migration-and-refugees/-/montenegro-law-on-foreigners</t>
  </si>
  <si>
    <t>Agreement with Frontex</t>
  </si>
  <si>
    <t>https://enlargement.ec.europa.eu/news/border-management-eu-signs-status-agreement-montenegro-2023-05-16_en</t>
  </si>
  <si>
    <t>https://www.gov.me/en/documents/15ef985b-eddb-4a41-a58a-63fee7e8455c</t>
  </si>
  <si>
    <t>Adoption of the Strategy on Migration and Reintegration of Returnees</t>
  </si>
  <si>
    <t>https://www.refworld.org/legal/legislation/natlegbod/2016/en/104945</t>
  </si>
  <si>
    <t>Montenegro Asylum Law</t>
  </si>
  <si>
    <t>Adoption of National Strategy on Migration and Action Plan 2019–2022</t>
  </si>
  <si>
    <t>https://albania.iom.int/resources/national-strategy-migration-and-action-plan-2019-2022</t>
  </si>
  <si>
    <t>Law on Citizenship</t>
  </si>
  <si>
    <t>https://www.refworld.org/legal/legislation/natlegbod/2020/en/123407</t>
  </si>
  <si>
    <t>Law on Asylum</t>
  </si>
  <si>
    <t>https://www.refworld.org/legal/legislation/natlegbod/2021/en/123556</t>
  </si>
  <si>
    <t>Albania signs new Status Agreement with Frontex</t>
  </si>
  <si>
    <t>https://www.eumonitor.eu/9353000/1/j4nvhdfdk3hydzq_j9vvik7m1c3gyxp/vmizb35vhqy3</t>
  </si>
  <si>
    <t>https://www.theguardian.com/world/2024/oct/11/italy-migration-centres-open-albania-controversial-deal</t>
  </si>
  <si>
    <t>Italian migration centres open in Albania under controversial deal</t>
  </si>
  <si>
    <t>https://apnews.com/article/albania-britain-illegal-migration-19e335a01efd7463072da5e8823e3c20</t>
  </si>
  <si>
    <t>Instruction of the Minister of Internal Affairs no. 293 on the treatment of aliens staying irregularly</t>
  </si>
  <si>
    <t>https://mb.gov.al/wp-content/uploads/2024/10/EN-_Profili_i_Migracionit_2015-2.pdf</t>
  </si>
  <si>
    <t>https://www.mondaq.com/work-visas/525182/legal-news-august-2016</t>
  </si>
  <si>
    <t>Albanian Parliament approved the law no. 74/2016, which amends law no. 108/2013 "On Foreigners"</t>
  </si>
  <si>
    <t>https://www.ecoi.net/en/file/local/2044747/601aaf494.pdf</t>
  </si>
  <si>
    <t>Stabilization and Association Agreement (SAA) between Kosovo and EU enters into force</t>
  </si>
  <si>
    <t>https://www.kuvendikosoves.org/eng/european-union-integration-process/</t>
  </si>
  <si>
    <t>Kosovo adopts the Strategy on Migration 2021-2025</t>
  </si>
  <si>
    <t>https://gzk.rks-gov.net/ActDetail.aspx?ActID=16389</t>
  </si>
  <si>
    <t>https://mpb.rks-gov.net/Uploads/Documents/Pdf/EN/378/Strategy-on-Migration-2021-2025-anglisht.pdf</t>
  </si>
  <si>
    <t>Law No. 06/L-026 on Asylum</t>
  </si>
  <si>
    <t>https://www.refworld.org/legal/legislation/natlegbod/2019/en/123452?prevPage=/node/123452</t>
  </si>
  <si>
    <t>Regulation (GRK) No. 09/2019 on Integration of Foreigners</t>
  </si>
  <si>
    <t>Regulation (MIA) No. 04/2018 on operation of the detention center for foreigners</t>
  </si>
  <si>
    <t>Albania installs British-funded cameras along its border</t>
  </si>
  <si>
    <t>Grand Total</t>
  </si>
  <si>
    <t>2015</t>
  </si>
  <si>
    <t>2016</t>
  </si>
  <si>
    <t>2017</t>
  </si>
  <si>
    <t>2018</t>
  </si>
  <si>
    <t>2019</t>
  </si>
  <si>
    <t>2020</t>
  </si>
  <si>
    <t>2021</t>
  </si>
  <si>
    <t>2022</t>
  </si>
  <si>
    <t>2023</t>
  </si>
  <si>
    <t>2024</t>
  </si>
  <si>
    <t>2025</t>
  </si>
  <si>
    <t>Policy Table</t>
  </si>
  <si>
    <t>Policy Rating</t>
  </si>
  <si>
    <t>SLOVENIA</t>
  </si>
  <si>
    <t>YEAR</t>
  </si>
  <si>
    <t>CROATIA</t>
  </si>
  <si>
    <t>BOSNIA AND HERZEGOVINA</t>
  </si>
  <si>
    <t>CIVIL SOCIETY PARTICIPATION INDEX</t>
  </si>
  <si>
    <t>HUMAN FREEDOM INDEX</t>
  </si>
  <si>
    <t>SERBIA</t>
  </si>
  <si>
    <t>NORTH MACEDONIA</t>
  </si>
  <si>
    <t>HUNGARY</t>
  </si>
  <si>
    <t>MONTENEGRO</t>
  </si>
  <si>
    <t>ALBANIA</t>
  </si>
  <si>
    <t>KOSOVO</t>
  </si>
  <si>
    <t>POLITICAL STABILITY INDEX</t>
  </si>
  <si>
    <t>ACADEMIC FREEDOM INDEX</t>
  </si>
  <si>
    <t>ECONOMIC FREEDOM INDEX</t>
  </si>
  <si>
    <t>DEMOCRACY INDEX</t>
  </si>
  <si>
    <t>&gt; ELECTORAL DEMOCRACY INDEX</t>
  </si>
  <si>
    <t>&gt; LIBERAL DEMOCRACY INDEX</t>
  </si>
  <si>
    <t>ELECTORAL DEMOCRACY INDEX</t>
  </si>
  <si>
    <t>LIBERAL DEMOCRACY INDEX</t>
  </si>
  <si>
    <t>RSF PRESS FREEDOM INDEX</t>
  </si>
  <si>
    <t>TRADING ECONOMICS</t>
  </si>
  <si>
    <t>Book</t>
  </si>
  <si>
    <t>POLITICAL STABILITY INDEX NORMALIZED</t>
  </si>
  <si>
    <t>PSIn = PSI / 2,5 * 10</t>
  </si>
  <si>
    <t>SLOVENIA NORMALIZED</t>
  </si>
  <si>
    <t>CROATIA NORMALIZED</t>
  </si>
  <si>
    <t>BOSNIA AND HERZEGOVINA NORMALIZED</t>
  </si>
  <si>
    <t>SERBIA NORMALIZED</t>
  </si>
  <si>
    <t>NORTH MACEDONIA NORMALIZED</t>
  </si>
  <si>
    <t>HUNGARY NORMALIZED</t>
  </si>
  <si>
    <t>MONTENEGRO NORMALIZED</t>
  </si>
  <si>
    <t>ALBANIA NORMALIZED</t>
  </si>
  <si>
    <t>TOTAL NORMALIZED (AVERAGES)</t>
  </si>
  <si>
    <t>INDEX</t>
  </si>
  <si>
    <t>ORIGINAL SCALE</t>
  </si>
  <si>
    <t>CALCULATION</t>
  </si>
  <si>
    <t>NEW SCALE</t>
  </si>
  <si>
    <t>Human Freedom Index</t>
  </si>
  <si>
    <t>Civil Society Participation Index</t>
  </si>
  <si>
    <t>Political Stability Index</t>
  </si>
  <si>
    <t>Academic Freedom Index</t>
  </si>
  <si>
    <t>Economic Freedom Index</t>
  </si>
  <si>
    <t>Liberal Democracy Index</t>
  </si>
  <si>
    <t>0 - 10</t>
  </si>
  <si>
    <t>0 - 1</t>
  </si>
  <si>
    <t>-2,5 - 2,5</t>
  </si>
  <si>
    <t>0 - 100</t>
  </si>
  <si>
    <t>NO CHANGES</t>
  </si>
  <si>
    <t>CSPIn = CSPI * 10</t>
  </si>
  <si>
    <t>-10 - 10</t>
  </si>
  <si>
    <t>AFIn = AFI * 10</t>
  </si>
  <si>
    <t>EFIn = EFI / 10</t>
  </si>
  <si>
    <t>LDIn = LDI * 10</t>
  </si>
  <si>
    <t>Democracy Index</t>
  </si>
  <si>
    <t>Electoral Democracy Index</t>
  </si>
  <si>
    <t>RSF Press Freedom Index</t>
  </si>
  <si>
    <t>EDIn = EDI * 10</t>
  </si>
  <si>
    <t>RPFIn = RPFI / 10</t>
  </si>
  <si>
    <t>https://www.amnesty.org/en/latest/news/2017/01/slovenia-amendments-to-aliens-act-denies-protection-to-refugees-2/</t>
  </si>
  <si>
    <t>Source Link</t>
  </si>
  <si>
    <t>Source Name</t>
  </si>
  <si>
    <t>DW</t>
  </si>
  <si>
    <t>The Guardian</t>
  </si>
  <si>
    <t>Politico Europe</t>
  </si>
  <si>
    <t>Time</t>
  </si>
  <si>
    <t>Amnesty International</t>
  </si>
  <si>
    <t>Government of Slovenia</t>
  </si>
  <si>
    <t>Al Jazeera</t>
  </si>
  <si>
    <t>European Council on Refugees and Exiles (ECRE)</t>
  </si>
  <si>
    <t>Associated Press</t>
  </si>
  <si>
    <t>Reuters</t>
  </si>
  <si>
    <t>Fragomen</t>
  </si>
  <si>
    <t>The Slovenia Times</t>
  </si>
  <si>
    <t>Balkan Insight</t>
  </si>
  <si>
    <t>European Court of Human Rights (HUDOC)</t>
  </si>
  <si>
    <t>Parliamentary Assembly of the Council of Europe (PACE)</t>
  </si>
  <si>
    <t>Council of the European Union</t>
  </si>
  <si>
    <t>Asylum Information Database (AIDA)</t>
  </si>
  <si>
    <t>European Center for Constitutional and Human Rights (ECCHR)</t>
  </si>
  <si>
    <t>Human Rights Watch</t>
  </si>
  <si>
    <t>International Organization for Migration</t>
  </si>
  <si>
    <t xml:space="preserve">International Organization for Migration </t>
  </si>
  <si>
    <t>NATLEX (ILO)</t>
  </si>
  <si>
    <t>Euractiv</t>
  </si>
  <si>
    <t>Refworld (UNHCR)</t>
  </si>
  <si>
    <t>Women, Peace and Security Focal Points Network</t>
  </si>
  <si>
    <t>Movements Journal</t>
  </si>
  <si>
    <t>Law Firm Sajić</t>
  </si>
  <si>
    <t>European Commission</t>
  </si>
  <si>
    <t>MENA Research Center</t>
  </si>
  <si>
    <t>European External Action Service (EEAS)</t>
  </si>
  <si>
    <t>Government of Serbia</t>
  </si>
  <si>
    <t>ReliefWeb</t>
  </si>
  <si>
    <t>Immigrate to Serbia</t>
  </si>
  <si>
    <t>Cadena SER</t>
  </si>
  <si>
    <t>UNHCR</t>
  </si>
  <si>
    <t>Centre for Eastern Studies (OSW)</t>
  </si>
  <si>
    <t>Global Detention Project</t>
  </si>
  <si>
    <t>European Union Agency for Asylum (EUAA)</t>
  </si>
  <si>
    <t>United Nations North Macedonia</t>
  </si>
  <si>
    <t>European Network on Statelessness</t>
  </si>
  <si>
    <t>BBC</t>
  </si>
  <si>
    <t>International Business Times</t>
  </si>
  <si>
    <t>The New York Times</t>
  </si>
  <si>
    <t>Hungarian Helsinki Committee</t>
  </si>
  <si>
    <t>European Union Agency for Fundamental Rights (FRA)</t>
  </si>
  <si>
    <t>Travelobiz</t>
  </si>
  <si>
    <t>About Hungary</t>
  </si>
  <si>
    <t>Council of Europe</t>
  </si>
  <si>
    <t>Government of Montenegro</t>
  </si>
  <si>
    <t>Parliament of Montenegro</t>
  </si>
  <si>
    <t>Ministry of Interior (Albania)</t>
  </si>
  <si>
    <t>Mondaq</t>
  </si>
  <si>
    <t>EU Monitor</t>
  </si>
  <si>
    <t>Ministry of Foreign Affairs (BiH)</t>
  </si>
  <si>
    <t>Ministry of Security (BiH)</t>
  </si>
  <si>
    <t>Assembly of Kosovo</t>
  </si>
  <si>
    <t>Official Gazette of Kosovo</t>
  </si>
  <si>
    <t>Ministry of Internal Affairs (Kosovo)</t>
  </si>
  <si>
    <t>Republic of Kosovo</t>
  </si>
  <si>
    <t>SOURCE</t>
  </si>
  <si>
    <t>NUMBER OF RECORDS USED</t>
  </si>
  <si>
    <t>SOURCE SITE</t>
  </si>
  <si>
    <t>Refworld</t>
  </si>
  <si>
    <t>GOV.SI</t>
  </si>
  <si>
    <t>ECRE</t>
  </si>
  <si>
    <t>OSW</t>
  </si>
  <si>
    <t>HUDOC</t>
  </si>
  <si>
    <t>European Migration Network (Croatia)</t>
  </si>
  <si>
    <t>EMN.GOV.HR</t>
  </si>
  <si>
    <t>AP News</t>
  </si>
  <si>
    <t>IOM</t>
  </si>
  <si>
    <t>AIDA</t>
  </si>
  <si>
    <t>Statelessness</t>
  </si>
  <si>
    <t>SRBIJA.GOV.RS</t>
  </si>
  <si>
    <t>HRW.ORG</t>
  </si>
  <si>
    <t>MSB.GOV.BA</t>
  </si>
  <si>
    <t>Amnesty</t>
  </si>
  <si>
    <t>Assembly of the Republic of Kosova</t>
  </si>
  <si>
    <t>Commissariat for Refugees and Migration (Serbia)</t>
  </si>
  <si>
    <t>KIRS.GOV.RS</t>
  </si>
  <si>
    <t>COE.INT</t>
  </si>
  <si>
    <t>Euroactiv</t>
  </si>
  <si>
    <t>ECCHR.EU</t>
  </si>
  <si>
    <t>EEAS.EUROPA.EU</t>
  </si>
  <si>
    <t>EUAA.EUROPA.EU</t>
  </si>
  <si>
    <t>Globaldetentionproject.org</t>
  </si>
  <si>
    <t>GOV.ME</t>
  </si>
  <si>
    <t>Immigratetoserbia.com</t>
  </si>
  <si>
    <t>Mena-studies.org</t>
  </si>
  <si>
    <t>MVP.GOV.BA</t>
  </si>
  <si>
    <t>MB.GOV.AL</t>
  </si>
  <si>
    <t>MPB.RKS-GOV.NET</t>
  </si>
  <si>
    <t>Ministry of Labour, Employment, Veteran and Social Affairs (Serbia)</t>
  </si>
  <si>
    <t>MINRZS.GOV.RS</t>
  </si>
  <si>
    <t>NATLEX</t>
  </si>
  <si>
    <t>GZK.RKS-GOV.NET</t>
  </si>
  <si>
    <t>Skupstina.ME</t>
  </si>
  <si>
    <t>PACE.COE.INT</t>
  </si>
  <si>
    <t>Politico.EU</t>
  </si>
  <si>
    <t>UNHCR.ORG</t>
  </si>
  <si>
    <t>NORTHMACEDONIA.UN.ORG</t>
  </si>
  <si>
    <t>WPSFOCALPOINTSNETWORK.ORG</t>
  </si>
  <si>
    <t>Impact</t>
  </si>
  <si>
    <t>Impact Reasoning</t>
  </si>
  <si>
    <t>High</t>
  </si>
  <si>
    <t>Medium</t>
  </si>
  <si>
    <t>Low</t>
  </si>
  <si>
    <t>Directly affected the Balkan route flow during the peak migration crisis and impacted thousands of migrants and neighboring states.</t>
  </si>
  <si>
    <t>Strengthened state border enforcement capacity, though primarily operational rather than transformational.</t>
  </si>
  <si>
    <t>Important diplomatic and EU coordination measure, but with less direct effect on migration flows.</t>
  </si>
  <si>
    <t>Major symbolic and operational border policy with strong regional consequences and effects on migrant routes.</t>
  </si>
  <si>
    <t>Expanded migration enforcement capabilities but did not fundamentally change the migration system.</t>
  </si>
  <si>
    <t>Reinforced the closure dynamics of the Balkan route and strongly affected regional transit migration.</t>
  </si>
  <si>
    <t>Important tightening of asylum policy with moderate long-term legal implications.</t>
  </si>
  <si>
    <t>Contributed significantly to regional border restrictions and Western Balkan route closure measures.</t>
  </si>
  <si>
    <t>Established a long-term legal framework for asylum and international protection governance.</t>
  </si>
  <si>
    <t>Created an important institutional structure for migrant integration and support.</t>
  </si>
  <si>
    <t>Major legislative change enabling exceptional border closure mechanisms and asylum restrictions.</t>
  </si>
  <si>
    <t>Important humanitarian and international cooperation initiative, though limited in numerical scale.</t>
  </si>
  <si>
    <t>Primarily a symbolic completion milestone rather than a major new policy shift.</t>
  </si>
  <si>
    <t>Established a long-term strategic framework for migration governance and planning.</t>
  </si>
  <si>
    <t>Expanded existing border restrictions without fundamentally changing policy direction.</t>
  </si>
  <si>
    <t>Directly suspended asylum access nationally during the COVID-19 emergency period.</t>
  </si>
  <si>
    <t>Introduced major structural legal changes with potentially broad future consequences for asylum access.</t>
  </si>
  <si>
    <t>Marked implementation of previously adopted restrictive migration legislation.</t>
  </si>
  <si>
    <t>Mainly a diplomatic coordination event with limited immediate operational impact.</t>
  </si>
  <si>
    <t>Represented a major symbolic and practical reversal of restrictive border policies.</t>
  </si>
  <si>
    <t>Positive humanitarian measure with moderate practical impact due to limited refugee numbers.</t>
  </si>
  <si>
    <t>Important strategic initiative shaping future migration governance priorities.</t>
  </si>
  <si>
    <t>Significantly improved migrant labour market access and foreign worker recruitment processes.</t>
  </si>
  <si>
    <t>Strong implications for Schengen mobility, regional migration governance, and neighboring countries.</t>
  </si>
  <si>
    <t>Limited-scale implementation event with mainly symbolic significance.</t>
  </si>
  <si>
    <t>Extended existing restrictive border measures without introducing fundamentally new controls.</t>
  </si>
  <si>
    <t>Administrative continuation of already existing border control measures.</t>
  </si>
  <si>
    <t>Long-term integration and migration implications through stricter integration requirements.</t>
  </si>
  <si>
    <t>Continuation of temporary border restrictions with moderate regional implications.</t>
  </si>
  <si>
    <t>Operational crisis-response measure improving migrant accommodation and border management capacity.</t>
  </si>
  <si>
    <t>Strong regional cooperation initiative reshaping joint migration and border management practices.</t>
  </si>
  <si>
    <t>Established Croatia’s core asylum and international protection framework through alignment with the EU asylum acquis, creating long-term legal and institutional consequences.</t>
  </si>
  <si>
    <t>Important humanitarian and EU solidarity measure, though relatively limited in numerical scale.</t>
  </si>
  <si>
    <t>Major operational reception facility during the peak of the migration crisis with significant logistical importance.</t>
  </si>
  <si>
    <t>Strongly disrupted regional mobility and migration flows along the Balkan route while affecting bilateral relations with Serbia.</t>
  </si>
  <si>
    <t>Large-scale reception infrastructure with substantial operational and humanitarian importance during the migration crisis.</t>
  </si>
  <si>
    <t>Operational support infrastructure that improved migrant transit management but with more localized effects.</t>
  </si>
  <si>
    <t>Played a major role in the effective closure of the Western Balkan migration route and significantly affected regional transit dynamics.</t>
  </si>
  <si>
    <t>Limited-scale relocation measure with mainly symbolic and humanitarian significance.</t>
  </si>
  <si>
    <t>Generated major international criticism and significant implications for Croatia’s human-rights reputation and EU border governance debates.</t>
  </si>
  <si>
    <t>Important domestic political decision affecting asylum infrastructure capacity, though geographically limited.</t>
  </si>
  <si>
    <t>Directly restricted asylum seekers’ mobility and access to services during the COVID-19 emergency period.</t>
  </si>
  <si>
    <t>Nationwide border restrictions with broad implications for migration governance and mobility during the pandemic.</t>
  </si>
  <si>
    <t>Strengthened reception capacity and integration infrastructure, though without fundamentally transforming migration governance.</t>
  </si>
  <si>
    <t>Landmark ECtHR judgment with major legal, reputational, and human-rights implications for Croatia and EU external border management practices.</t>
  </si>
  <si>
    <t>Politically significant acknowledgment of misconduct by authorities, though with limited immediate structural reform consequences.</t>
  </si>
  <si>
    <t>Fundamental geopolitical and migration-governance shift through Croatia’s integration into the Schengen Area.</t>
  </si>
  <si>
    <t>Small-scale humanitarian relocation measure with limited practical regional impact.</t>
  </si>
  <si>
    <t>Important modernization of asylum legislation with moderate long-term institutional implications.</t>
  </si>
  <si>
    <t>Major ECtHR ruling highlighting serious violations of human rights obligations and generating substantial reputational consequences.</t>
  </si>
  <si>
    <t>Primarily a legal accountability initiative with limited immediate operational consequences.</t>
  </si>
  <si>
    <t>Important local integration policy improving coordination and support for migrants and asylum applicants in Zagreb.</t>
  </si>
  <si>
    <t>Reinforced international scrutiny regarding Croatia’s border practices and intensified debates on EU external border management.</t>
  </si>
  <si>
    <t>Large-scale readmission practices with important humanitarian and cross-border implications for Bosnia and regional migration governance.</t>
  </si>
  <si>
    <t>Strengthened operational cooperation with EU border-management institutions while expanding Frontex involvement in Croatia.</t>
  </si>
  <si>
    <t>Important urban integration and service-coordination initiative supporting refugees and migrants at the municipal level.</t>
  </si>
  <si>
    <t>Serious human-rights allegations with substantial reputational implications for Croatia and EU migration governance debates.</t>
  </si>
  <si>
    <t>Limited-scale operational contribution to EU migration management with mainly symbolic and cooperative significance.</t>
  </si>
  <si>
    <t>Important EU integration milestone strengthening Bosnia and Herzegovina’s institutional alignment with European migration and asylum standards.</t>
  </si>
  <si>
    <t>Established a core legal framework governing migration, residence, and treatment of foreigners within the country.</t>
  </si>
  <si>
    <t>Created the country’s principal asylum framework with long-term institutional and legal implications for migration governance.</t>
  </si>
  <si>
    <t>Significantly altered regional migration routes and redirected migration pressures toward Bosnia and Herzegovina.</t>
  </si>
  <si>
    <t>Administrative and procedural regulation with limited broader operational consequences.</t>
  </si>
  <si>
    <t>Established a strategic framework for migration and asylum governance with moderate long-term institutional importance.</t>
  </si>
  <si>
    <t>Technical adaptation measure primarily linked to EU integration procedures rather than direct migration governance change.</t>
  </si>
  <si>
    <t>Secondary implementing legislation clarifying asylum procedures without substantially transforming the system.</t>
  </si>
  <si>
    <t>Important governance and protection framework addressing vulnerable groups, including migrant and refugee women.</t>
  </si>
  <si>
    <t>Major humanitarian and migration-management turning point that transformed Bihać into a key bottleneck along the Balkan route.</t>
  </si>
  <si>
    <t>Strengthened border-management and security capacities in response to rising migration pressures.</t>
  </si>
  <si>
    <t>Important return-management and migration-control mechanism with moderate operational implications.</t>
  </si>
  <si>
    <t>Severe humanitarian and governance crisis that exposed weaknesses in Bosnia and Herzegovina’s migrant reception system.</t>
  </si>
  <si>
    <t>Generated substantial international criticism and highlighted serious humanitarian deficiencies in migrant accommodation and protection.</t>
  </si>
  <si>
    <t>Important improvement in reception infrastructure and accommodation capacity, though geographically concentrated.</t>
  </si>
  <si>
    <t>Technical amendment to asylum-related procedures with limited direct policy impact.</t>
  </si>
  <si>
    <t>Long-term strategic framework guiding migration and asylum governance for the 2021–2025 period.</t>
  </si>
  <si>
    <t>Strengthened restrictive border-management practices with important regional and humanitarian implications.</t>
  </si>
  <si>
    <t>Moderate legislative update affecting migration governance and regulation of foreigners.</t>
  </si>
  <si>
    <t>Important step toward enhanced operational cooperation with the EU and Frontex in border management.</t>
  </si>
  <si>
    <t>Potentially significant institutional reform aimed at strengthening border-management governance and EU alignment.</t>
  </si>
  <si>
    <t>Impact Value</t>
  </si>
  <si>
    <t>Calculated Rating</t>
  </si>
  <si>
    <t>Reception centres improved Serbia’s humanitarian response capacity and aligned with EU-supported migrant management practices.</t>
  </si>
  <si>
    <t>Hungary’s restrictive border policy created bottlenecks in Serbia, increased stranded migrant populations, and worsened regional tensions.</t>
  </si>
  <si>
    <t>Keeping borders open supported humanitarian transit, reduced regional pressure, and aligned Serbia with cooperative EU migration management.</t>
  </si>
  <si>
    <t>Trade restrictions and bilateral tensions with Croatia negatively affected regional cooperation during the refugee crisis.</t>
  </si>
  <si>
    <t>Large numbers of stranded migrants created humanitarian and logistical pressure on Serbia and worsened migrant conditions.</t>
  </si>
  <si>
    <t>The organized transfer regime improved coordination with Croatia and stabilized migration flows through the Western Balkan route.</t>
  </si>
  <si>
    <t>The termination of visa-free travel with Iran reduced irregular arrivals and aligned Serbia more closely with EU visa expectations.</t>
  </si>
  <si>
    <t>EU financial support strengthened Serbia’s border management and refugee assistance capacities while improving cooperation with the EU.</t>
  </si>
  <si>
    <t>The law modernized Serbia’s asylum framework and improved alignment with international and EU protection standards.</t>
  </si>
  <si>
    <t>The rulebook standardized asylum-centre procedures and improved management and living conditions within reception facilities.</t>
  </si>
  <si>
    <t>The coordination body and migration strategy improved Serbia’s institutional approach to labour and economic migration management.</t>
  </si>
  <si>
    <t>The strategy provided a long-term framework for managing labour migration and demographic challenges in cooperation with EU standards.</t>
  </si>
  <si>
    <t>COVID-19 border closures restricted mobility and asylum access while disrupting regional migration movements.</t>
  </si>
  <si>
    <t>Movement restrictions limited migrants’ freedoms and reduced access to services during the pandemic period.</t>
  </si>
  <si>
    <t>The amendments improved asylum procedures and strengthened Serbia’s legal migration governance framework.</t>
  </si>
  <si>
    <t>Observer status strengthened Serbia’s institutional cooperation with EU migration bodies and improved policy coordination.</t>
  </si>
  <si>
    <t>Increased police deployment improved domestic security control but negatively affected migrant conditions near the border.</t>
  </si>
  <si>
    <t>Evictions and raids worsened humanitarian conditions for migrants and increased criticism from human rights organizations.</t>
  </si>
  <si>
    <t>The reforms simplified residence and work permit procedures, improving Serbia’s attractiveness for legal labour migration.</t>
  </si>
  <si>
    <t>Reports of abuse and degrading treatment at borders seriously harmed migrant welfare and damaged Serbia’s international reputation.</t>
  </si>
  <si>
    <t>Issuing refugee travel documents strengthened legal protection and integration opportunities for recognized refugees.</t>
  </si>
  <si>
    <t>The Frontex agreement improved operational cooperation with the EU on border management but raised concerns regarding migrant treatment.</t>
  </si>
  <si>
    <t>Joint patrol cooperation strengthened regional migration management coordination without introducing harsher detention measures.</t>
  </si>
  <si>
    <t>EU recognition confirmed Serbia’s growing importance in regional migration governance and strengthened EU relations.</t>
  </si>
  <si>
    <t>The expulsion of activists raised concerns regarding civil rights and democratic standards, negatively affecting Serbia’s international image.</t>
  </si>
  <si>
    <t>The introduction of temporary transit visas facilitated regulated migrant movement through North Macedonia and reduced irregular crossings.</t>
  </si>
  <si>
    <t>The state of emergency increased state control over migration flows but negatively affected migrant access and conditions.</t>
  </si>
  <si>
    <t>Tightened border controls reduced transit flows and contributed to migrant bottlenecks along the Balkan route.</t>
  </si>
  <si>
    <t>The construction of the border fence significantly restricted migration flows and negatively affected regional mobility and migrant welfare.</t>
  </si>
  <si>
    <t>The law strengthened the asylum framework and improved alignment with EU and international protection standards.</t>
  </si>
  <si>
    <t>COVID-19 emergency measures and border closures restricted mobility and asylum access while disrupting regional migration routes.</t>
  </si>
  <si>
    <t>The IOM strategy strengthened migration governance capacities and improved international cooperation on migration management.</t>
  </si>
  <si>
    <t>The roadmap supported alignment with the Common European Asylum System and strengthened EU cooperation.</t>
  </si>
  <si>
    <t>The migration policy resolution provided a long-term strategic framework for migration governance and policy coordination.</t>
  </si>
  <si>
    <t>The Frontex arrangement strengthened operational border cooperation with the EU while raising concerns regarding migrant treatment.</t>
  </si>
  <si>
    <t>The amendments reduced the risk of statelessness and improved legal protection and inclusion for vulnerable populations.</t>
  </si>
  <si>
    <t>Suspending the EU asylum transfer rule undermined EU asylum cooperation and increased tensions regarding responsibility-sharing.</t>
  </si>
  <si>
    <t>The Serbian border fence and restrictive laws significantly reduced irregular crossings while negatively affecting migrant access and regional cooperation.</t>
  </si>
  <si>
    <t>The closure of the Croatian border redirected migration routes across the Western Balkans and worsened conditions for migrants.</t>
  </si>
  <si>
    <t>The pushback policy strengthened border enforcement but generated substantial criticism regarding violations of asylum rights and EU norms.</t>
  </si>
  <si>
    <t>The deployment of soldiers and police intensified border securitization and further restricted migrant access to asylum procedures.</t>
  </si>
  <si>
    <t>The referendum reinforced Hungary’s opposition to EU relocation quotas and deepened political tensions with EU institutions.</t>
  </si>
  <si>
    <t>The asylum law amendments institutionalized restrictive asylum procedures and significantly limited migrant protections.</t>
  </si>
  <si>
    <t>The “Stop Soros” legislation increased restrictions on migration-related civil society activities and drew criticism from EU institutions.</t>
  </si>
  <si>
    <t>COVID-19 emergency measures further restricted asylum access and movement while reinforcing existing border controls.</t>
  </si>
  <si>
    <t>The abolition of transit zones slightly improved compliance with EU legal rulings but did not fundamentally liberalize migration policy.</t>
  </si>
  <si>
    <t>The suspension of Frontex operations reflected serious EU concerns regarding Hungary’s migration and asylum practices.</t>
  </si>
  <si>
    <t>The immigration reforms tightened labour migration and residence conditions, reducing access for foreign workers and migrants.</t>
  </si>
  <si>
    <t>Rejecting the EU Migration Pact reinforced Hungary’s sovereigntist migration stance and increased tensions with EU migration policy objectives.</t>
  </si>
  <si>
    <t>The Action Plan improved Montenegro’s institutional preparedness for migration management and supported cooperation with EU migration frameworks.</t>
  </si>
  <si>
    <t>The asylum law strengthened the legal protection framework for asylum seekers and aligned Montenegro more closely with EU standards.</t>
  </si>
  <si>
    <t>The Law on Foreigners improved regulation of migration and residence procedures while strengthening legislative alignment with EU requirements.</t>
  </si>
  <si>
    <t>The migration and reintegration strategy provided a long-term framework for migration governance and returnee reintegration policies.</t>
  </si>
  <si>
    <t>The Frontex agreement strengthened operational border cooperation with the EU and enhanced Montenegro’s role in regional migration management.</t>
  </si>
  <si>
    <t>The instruction standardized procedures for irregular migrants but introduced stricter controls that negatively affected migrant flexibility and access.</t>
  </si>
  <si>
    <t>The amendments to the Law on Foreigners improved migration governance and strengthened alignment with EU legal frameworks.</t>
  </si>
  <si>
    <t>The migration strategy established a long-term framework for migration governance and institutional coordination.</t>
  </si>
  <si>
    <t>The citizenship law modernized nationality procedures and improved Albania’s legislative alignment with European standards.</t>
  </si>
  <si>
    <t>The asylum law significantly strengthened the legal protection framework for asylum seekers and aligned Albania with EU and international standards.</t>
  </si>
  <si>
    <t>The Frontex agreement enhanced operational cooperation with the EU and strengthened Albania’s role in regional border management.</t>
  </si>
  <si>
    <t>The installation of surveillance cameras strengthened border monitoring and irregular migration control but increased securitization of migration management.</t>
  </si>
  <si>
    <t>The agreement to host Italian migration centres generated strong political and human-rights criticism, affecting migrants and Albania’s international image.</t>
  </si>
  <si>
    <t>Strengthened Kosovo’s cooperation and alignment with EU migration and governance standards, improving institutional coordination and policy harmonization.</t>
  </si>
  <si>
    <t>Primarily administrative in nature, with limited broader regional impact, though it affected detention management and migrant treatment procedures.</t>
  </si>
  <si>
    <t>Significantly improved Kosovo’s asylum framework and legal protections for asylum seekers in line with international and EU standards.</t>
  </si>
  <si>
    <t>Enhanced integration policies and institutional support for foreigners, improving long-term inclusion mechanisms.</t>
  </si>
  <si>
    <t>Strengthened strategic migration governance and policy coordination while supporting closer alignment with EU migration priorities.</t>
  </si>
  <si>
    <t>Number of Records Used</t>
  </si>
  <si>
    <t>Main Source Link</t>
  </si>
  <si>
    <t>Total Records Analysed</t>
  </si>
  <si>
    <t>Rating (SUM)</t>
  </si>
  <si>
    <t>Rating Value</t>
  </si>
  <si>
    <t>Rating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</si>
</sst>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4" x14ac:knownFonts="1">
    <font>
      <sz val="11"/>
      <color theme="1"/>
      <name val="Calibri"/>
      <family val="2"/>
      <scheme val="minor"/>
    </font>
    <font>
      <sz val="11"/>
      <color theme="1"/>
      <name val="Calibri"/>
      <family val="2"/>
      <charset val="238"/>
      <scheme val="minor"/>
    </font>
    <font>
      <sz val="11"/>
      <color theme="1"/>
      <name val="Calibri"/>
      <family val="2"/>
      <charset val="238"/>
      <scheme val="minor"/>
    </font>
    <font>
      <b/>
      <sz val="11"/>
      <color theme="1"/>
      <name val="Calibri"/>
      <family val="2"/>
      <charset val="238"/>
      <scheme val="minor"/>
    </font>
    <font>
      <sz val="10"/>
      <color rgb="FF000000"/>
      <name val="Calibri"/>
      <family val="2"/>
      <charset val="238"/>
      <scheme val="minor"/>
    </font>
    <font>
      <u/>
      <sz val="11"/>
      <color theme="10"/>
      <name val="Calibri"/>
      <family val="2"/>
      <scheme val="minor"/>
    </font>
    <font>
      <b/>
      <sz val="11"/>
      <color theme="1"/>
      <name val="Calibri"/>
      <family val="2"/>
      <scheme val="minor"/>
    </font>
    <font>
      <b/>
      <sz val="11"/>
      <color theme="0"/>
      <name val="Calibri"/>
      <family val="2"/>
      <scheme val="minor"/>
    </font>
    <font>
      <sz val="11"/>
      <name val="Calibri"/>
      <family val="2"/>
      <scheme val="minor"/>
    </font>
    <font>
      <sz val="8"/>
      <name val="Calibri"/>
      <family val="2"/>
      <scheme val="minor"/>
    </font>
    <font>
      <u/>
      <sz val="11"/>
      <color theme="1"/>
      <name val="Calibri"/>
      <family val="2"/>
      <scheme val="minor"/>
    </font>
    <font>
      <sz val="10"/>
      <color theme="1"/>
      <name val="Times New Roman"/>
      <family val="1"/>
      <charset val="238"/>
    </font>
    <font>
      <b/>
      <sz val="10"/>
      <color theme="1"/>
      <name val="Times New Roman"/>
      <family val="1"/>
      <charset val="238"/>
    </font>
    <font>
      <sz val="11"/>
      <color theme="1"/>
      <name val="Calibri"/>
      <family val="2"/>
      <scheme val="minor"/>
    </font>
  </fonts>
  <fills count="3">
    <fill>
      <patternFill patternType="none"/>
    </fill>
    <fill>
      <patternFill patternType="gray125"/>
    </fill>
    <fill>
      <patternFill patternType="solid">
        <fgColor theme="1"/>
        <bgColor theme="1"/>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s>
  <cellStyleXfs count="4">
    <xf numFmtId="0" fontId="0" fillId="0" borderId="0"/>
    <xf numFmtId="0" fontId="4" fillId="0" borderId="0"/>
    <xf numFmtId="0" fontId="5" fillId="0" borderId="0" applyNumberFormat="0" applyFill="0" applyBorder="0" applyAlignment="0" applyProtection="0"/>
    <xf numFmtId="43" fontId="13" fillId="0" borderId="0" applyFont="0" applyFill="0" applyBorder="0" applyAlignment="0" applyProtection="0"/>
  </cellStyleXfs>
  <cellXfs count="90">
    <xf numFmtId="0" fontId="0" fillId="0" borderId="0" xfId="0"/>
    <xf numFmtId="0" fontId="0" fillId="0" borderId="1" xfId="0" applyBorder="1"/>
    <xf numFmtId="14" fontId="0" fillId="0" borderId="1" xfId="0" applyNumberFormat="1" applyBorder="1"/>
    <xf numFmtId="0" fontId="5" fillId="0" borderId="1" xfId="2" applyBorder="1"/>
    <xf numFmtId="0" fontId="0" fillId="0" borderId="2" xfId="0" applyBorder="1"/>
    <xf numFmtId="14" fontId="0" fillId="0" borderId="2" xfId="0" applyNumberFormat="1" applyBorder="1"/>
    <xf numFmtId="0" fontId="5" fillId="0" borderId="2" xfId="2" applyBorder="1"/>
    <xf numFmtId="0" fontId="0" fillId="0" borderId="1" xfId="0" applyBorder="1" applyAlignment="1">
      <alignment vertical="center" wrapText="1"/>
    </xf>
    <xf numFmtId="14" fontId="0" fillId="0" borderId="1" xfId="0" applyNumberFormat="1" applyBorder="1" applyAlignment="1">
      <alignment vertical="center" wrapText="1"/>
    </xf>
    <xf numFmtId="0" fontId="2" fillId="0" borderId="1" xfId="0" applyFont="1" applyBorder="1" applyAlignment="1">
      <alignment vertical="center" wrapText="1"/>
    </xf>
    <xf numFmtId="0" fontId="0" fillId="0" borderId="3" xfId="0" applyBorder="1"/>
    <xf numFmtId="0" fontId="5" fillId="0" borderId="4" xfId="2" applyBorder="1"/>
    <xf numFmtId="0" fontId="3" fillId="0" borderId="5" xfId="0" applyFont="1" applyBorder="1"/>
    <xf numFmtId="0" fontId="3" fillId="0" borderId="6" xfId="0" applyFont="1" applyBorder="1"/>
    <xf numFmtId="0" fontId="0" fillId="0" borderId="8" xfId="0" applyBorder="1"/>
    <xf numFmtId="0" fontId="0" fillId="0" borderId="3" xfId="0" applyBorder="1" applyAlignment="1">
      <alignment vertical="center" wrapText="1"/>
    </xf>
    <xf numFmtId="0" fontId="5" fillId="0" borderId="4" xfId="2" applyBorder="1" applyAlignment="1">
      <alignment vertical="center" wrapText="1"/>
    </xf>
    <xf numFmtId="0" fontId="5" fillId="0" borderId="4" xfId="2" applyFill="1" applyBorder="1" applyAlignment="1">
      <alignmen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0" fillId="0" borderId="8" xfId="0" applyBorder="1" applyAlignment="1">
      <alignment vertical="center" wrapText="1"/>
    </xf>
    <xf numFmtId="0" fontId="0" fillId="0" borderId="2" xfId="0" applyBorder="1" applyAlignment="1">
      <alignment vertical="center" wrapText="1"/>
    </xf>
    <xf numFmtId="14" fontId="0" fillId="0" borderId="2" xfId="0" applyNumberFormat="1" applyBorder="1" applyAlignment="1">
      <alignment vertical="center" wrapText="1"/>
    </xf>
    <xf numFmtId="0" fontId="2" fillId="0" borderId="2" xfId="0" applyFont="1" applyBorder="1" applyAlignment="1">
      <alignment vertical="center" wrapText="1"/>
    </xf>
    <xf numFmtId="0" fontId="5" fillId="0" borderId="9" xfId="2" applyBorder="1" applyAlignment="1">
      <alignment vertical="center" wrapText="1"/>
    </xf>
    <xf numFmtId="0" fontId="0" fillId="0" borderId="0" xfId="0" applyAlignment="1">
      <alignment vertical="center" wrapText="1"/>
    </xf>
    <xf numFmtId="0" fontId="3" fillId="0" borderId="0" xfId="0" applyFont="1"/>
    <xf numFmtId="0" fontId="1" fillId="0" borderId="1" xfId="0" applyFont="1" applyBorder="1" applyAlignment="1">
      <alignment vertical="center" wrapText="1"/>
    </xf>
    <xf numFmtId="0" fontId="7" fillId="2" borderId="5"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2" borderId="7" xfId="0" applyFont="1" applyFill="1" applyBorder="1" applyAlignment="1">
      <alignment horizontal="left" vertical="center" wrapText="1"/>
    </xf>
    <xf numFmtId="14" fontId="0" fillId="0" borderId="0" xfId="0" applyNumberFormat="1" applyAlignment="1">
      <alignment vertical="center" wrapText="1"/>
    </xf>
    <xf numFmtId="0" fontId="1" fillId="0" borderId="0" xfId="0" applyFont="1" applyAlignment="1">
      <alignment vertical="center" wrapText="1"/>
    </xf>
    <xf numFmtId="0" fontId="5" fillId="0" borderId="0" xfId="2" applyFill="1" applyBorder="1" applyAlignment="1">
      <alignment vertical="center" wrapText="1"/>
    </xf>
    <xf numFmtId="0" fontId="8" fillId="0" borderId="8" xfId="0" applyFont="1" applyBorder="1" applyAlignment="1">
      <alignment vertical="center" wrapText="1"/>
    </xf>
    <xf numFmtId="0" fontId="8" fillId="0" borderId="2" xfId="0" applyFont="1" applyBorder="1" applyAlignment="1">
      <alignment vertical="center" wrapText="1"/>
    </xf>
    <xf numFmtId="14" fontId="8" fillId="0" borderId="2" xfId="0" applyNumberFormat="1" applyFont="1" applyBorder="1" applyAlignment="1">
      <alignment vertical="center" wrapText="1"/>
    </xf>
    <xf numFmtId="0" fontId="8" fillId="0" borderId="3" xfId="0" applyFont="1" applyBorder="1" applyAlignment="1">
      <alignment vertical="center" wrapText="1"/>
    </xf>
    <xf numFmtId="0" fontId="8" fillId="0" borderId="1" xfId="0" applyFont="1" applyBorder="1" applyAlignment="1">
      <alignment vertical="center" wrapText="1"/>
    </xf>
    <xf numFmtId="14" fontId="8" fillId="0" borderId="1" xfId="0" applyNumberFormat="1" applyFont="1" applyBorder="1" applyAlignment="1">
      <alignment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7" fillId="0" borderId="7" xfId="0" applyFont="1" applyBorder="1" applyAlignment="1">
      <alignment horizontal="left" vertical="center" wrapText="1"/>
    </xf>
    <xf numFmtId="0" fontId="5" fillId="0" borderId="9" xfId="2" applyFill="1" applyBorder="1" applyAlignment="1">
      <alignment vertical="center" wrapText="1"/>
    </xf>
    <xf numFmtId="0" fontId="8" fillId="0" borderId="1" xfId="0" applyFont="1" applyBorder="1" applyAlignment="1">
      <alignment horizontal="left" vertical="center" wrapText="1"/>
    </xf>
    <xf numFmtId="0" fontId="8" fillId="0" borderId="1" xfId="0" applyFont="1" applyBorder="1"/>
    <xf numFmtId="0" fontId="0" fillId="0" borderId="5" xfId="0" applyBorder="1"/>
    <xf numFmtId="0" fontId="0" fillId="0" borderId="6" xfId="0" applyBorder="1"/>
    <xf numFmtId="0" fontId="0" fillId="0" borderId="7" xfId="0" applyBorder="1"/>
    <xf numFmtId="0" fontId="5" fillId="0" borderId="9" xfId="2" applyBorder="1"/>
    <xf numFmtId="0" fontId="5" fillId="0" borderId="0" xfId="2" applyBorder="1"/>
    <xf numFmtId="14" fontId="0" fillId="0" borderId="0" xfId="0" applyNumberFormat="1"/>
    <xf numFmtId="0" fontId="0" fillId="0" borderId="2" xfId="0" applyBorder="1" applyAlignment="1">
      <alignment wrapText="1"/>
    </xf>
    <xf numFmtId="0" fontId="8" fillId="0" borderId="1" xfId="2" applyFont="1" applyBorder="1" applyAlignment="1">
      <alignment wrapText="1"/>
    </xf>
    <xf numFmtId="0" fontId="0" fillId="0" borderId="0" xfId="0" pivotButton="1"/>
    <xf numFmtId="0" fontId="0" fillId="0" borderId="0" xfId="0" applyAlignment="1">
      <alignment horizontal="left"/>
    </xf>
    <xf numFmtId="0" fontId="5" fillId="0" borderId="0" xfId="2"/>
    <xf numFmtId="2" fontId="0" fillId="0" borderId="0" xfId="0" applyNumberFormat="1"/>
    <xf numFmtId="49" fontId="0" fillId="0" borderId="0" xfId="0" applyNumberFormat="1"/>
    <xf numFmtId="0" fontId="10" fillId="0" borderId="0" xfId="0" applyFont="1"/>
    <xf numFmtId="0" fontId="0" fillId="0" borderId="4" xfId="0" applyBorder="1" applyAlignment="1">
      <alignment vertical="center" wrapText="1"/>
    </xf>
    <xf numFmtId="0" fontId="8" fillId="0" borderId="4" xfId="0" applyFont="1" applyBorder="1" applyAlignment="1">
      <alignment vertical="center" wrapText="1"/>
    </xf>
    <xf numFmtId="0" fontId="0" fillId="0" borderId="4" xfId="0" applyBorder="1"/>
    <xf numFmtId="0" fontId="11" fillId="0" borderId="3" xfId="0" applyFont="1" applyBorder="1"/>
    <xf numFmtId="0" fontId="11" fillId="0" borderId="4" xfId="0" applyFont="1" applyBorder="1"/>
    <xf numFmtId="0" fontId="11" fillId="0" borderId="8" xfId="0" applyFont="1" applyBorder="1"/>
    <xf numFmtId="0" fontId="11" fillId="0" borderId="9" xfId="0" applyFont="1" applyBorder="1"/>
    <xf numFmtId="0" fontId="12" fillId="0" borderId="5" xfId="0" applyFont="1" applyBorder="1"/>
    <xf numFmtId="0" fontId="12" fillId="0" borderId="7" xfId="0" applyFont="1" applyBorder="1"/>
    <xf numFmtId="0" fontId="12" fillId="0" borderId="6" xfId="0" applyFont="1" applyBorder="1"/>
    <xf numFmtId="0" fontId="5" fillId="0" borderId="7" xfId="2" applyFill="1" applyBorder="1"/>
    <xf numFmtId="0" fontId="5" fillId="0" borderId="4" xfId="2" applyFill="1" applyBorder="1"/>
    <xf numFmtId="0" fontId="5" fillId="0" borderId="9" xfId="2" applyFill="1" applyBorder="1"/>
    <xf numFmtId="0" fontId="0" fillId="0" borderId="9" xfId="0" applyBorder="1" applyAlignment="1">
      <alignment vertical="center" wrapText="1"/>
    </xf>
    <xf numFmtId="43" fontId="0" fillId="0" borderId="1" xfId="3" applyFont="1" applyBorder="1"/>
    <xf numFmtId="0" fontId="0" fillId="0" borderId="9" xfId="0" applyBorder="1"/>
    <xf numFmtId="0" fontId="6" fillId="0" borderId="0" xfId="0" applyFont="1" applyAlignment="1">
      <alignment horizontal="left" vertical="center" wrapText="1"/>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0" xfId="0" applyAlignment="1">
      <alignment vertical="center"/>
    </xf>
    <xf numFmtId="0" fontId="0" fillId="0" borderId="10" xfId="0" applyBorder="1" applyAlignment="1">
      <alignment vertical="center" wrapText="1"/>
    </xf>
    <xf numFmtId="0" fontId="8" fillId="0" borderId="7" xfId="0" applyFont="1" applyBorder="1" applyAlignment="1">
      <alignment vertical="center" wrapText="1"/>
    </xf>
    <xf numFmtId="0" fontId="8" fillId="0" borderId="9" xfId="0" applyFont="1" applyBorder="1" applyAlignment="1">
      <alignment vertical="center" wrapText="1"/>
    </xf>
    <xf numFmtId="43" fontId="0" fillId="0" borderId="6" xfId="3" applyFont="1" applyBorder="1"/>
    <xf numFmtId="0" fontId="5" fillId="0" borderId="6" xfId="2" applyBorder="1"/>
    <xf numFmtId="2" fontId="0" fillId="0" borderId="1" xfId="0" applyNumberFormat="1" applyBorder="1"/>
    <xf numFmtId="0" fontId="8" fillId="0" borderId="4" xfId="2" applyFont="1" applyBorder="1"/>
    <xf numFmtId="0" fontId="8" fillId="0" borderId="9" xfId="2" applyFont="1" applyBorder="1"/>
  </cellXfs>
  <cellStyles count="4">
    <cellStyle name="Comma" xfId="3" builtinId="3"/>
    <cellStyle name="Hyperlink" xfId="2" builtinId="8"/>
    <cellStyle name="Normal" xfId="0" builtinId="0"/>
    <cellStyle name="Normal 2" xfId="1" xr:uid="{29B08218-7ADC-41CE-94DE-10CDA14A3BE7}"/>
  </cellStyles>
  <dxfs count="24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i val="0"/>
        <strike val="0"/>
        <condense val="0"/>
        <extend val="0"/>
        <outline val="0"/>
        <shadow val="0"/>
        <u val="none"/>
        <vertAlign val="baseline"/>
        <sz val="11"/>
        <color theme="1"/>
        <name val="Calibri"/>
        <family val="2"/>
        <charset val="238"/>
        <scheme val="minor"/>
      </font>
    </dxf>
    <dxf>
      <font>
        <b/>
        <i val="0"/>
        <strike val="0"/>
        <condense val="0"/>
        <extend val="0"/>
        <outline val="0"/>
        <shadow val="0"/>
        <u val="none"/>
        <vertAlign val="baseline"/>
        <sz val="11"/>
        <color theme="1"/>
        <name val="Calibri"/>
        <family val="2"/>
        <charset val="238"/>
        <scheme val="minor"/>
      </font>
    </dxf>
    <dxf>
      <font>
        <b/>
        <i val="0"/>
        <strike val="0"/>
        <condense val="0"/>
        <extend val="0"/>
        <outline val="0"/>
        <shadow val="0"/>
        <u val="none"/>
        <vertAlign val="baseline"/>
        <sz val="11"/>
        <color theme="1"/>
        <name val="Calibri"/>
        <family val="2"/>
        <charset val="238"/>
        <scheme val="minor"/>
      </font>
    </dxf>
    <dxf>
      <font>
        <b/>
        <i val="0"/>
        <strike val="0"/>
        <condense val="0"/>
        <extend val="0"/>
        <outline val="0"/>
        <shadow val="0"/>
        <u val="none"/>
        <vertAlign val="baseline"/>
        <sz val="11"/>
        <color theme="1"/>
        <name val="Calibri"/>
        <family val="2"/>
        <charset val="238"/>
        <scheme val="minor"/>
      </font>
    </dxf>
    <dxf>
      <font>
        <b/>
        <i val="0"/>
        <strike val="0"/>
        <condense val="0"/>
        <extend val="0"/>
        <outline val="0"/>
        <shadow val="0"/>
        <u val="none"/>
        <vertAlign val="baseline"/>
        <sz val="11"/>
        <color theme="1"/>
        <name val="Calibri"/>
        <family val="2"/>
        <charset val="238"/>
        <scheme val="minor"/>
      </font>
    </dxf>
    <dxf>
      <font>
        <b/>
        <i val="0"/>
        <strike val="0"/>
        <condense val="0"/>
        <extend val="0"/>
        <outline val="0"/>
        <shadow val="0"/>
        <u val="none"/>
        <vertAlign val="baseline"/>
        <sz val="11"/>
        <color theme="1"/>
        <name val="Calibri"/>
        <family val="2"/>
        <charset val="238"/>
        <scheme val="minor"/>
      </font>
    </dxf>
    <dxf>
      <font>
        <b/>
        <i val="0"/>
        <strike val="0"/>
        <condense val="0"/>
        <extend val="0"/>
        <outline val="0"/>
        <shadow val="0"/>
        <u val="none"/>
        <vertAlign val="baseline"/>
        <sz val="11"/>
        <color theme="1"/>
        <name val="Calibri"/>
        <family val="2"/>
        <charset val="238"/>
        <scheme val="minor"/>
      </font>
    </dxf>
    <dxf>
      <font>
        <b/>
        <i val="0"/>
        <strike val="0"/>
        <condense val="0"/>
        <extend val="0"/>
        <outline val="0"/>
        <shadow val="0"/>
        <u val="none"/>
        <vertAlign val="baseline"/>
        <sz val="11"/>
        <color theme="1"/>
        <name val="Calibri"/>
        <family val="2"/>
        <charset val="238"/>
        <scheme val="minor"/>
      </font>
    </dxf>
    <dxf>
      <font>
        <b/>
        <i val="0"/>
        <strike val="0"/>
        <condense val="0"/>
        <extend val="0"/>
        <outline val="0"/>
        <shadow val="0"/>
        <u val="none"/>
        <vertAlign val="baseline"/>
        <sz val="11"/>
        <color theme="1"/>
        <name val="Calibri"/>
        <family val="2"/>
        <charset val="238"/>
        <scheme val="minor"/>
      </font>
    </dxf>
    <dxf>
      <font>
        <b/>
        <i val="0"/>
        <strike val="0"/>
        <condense val="0"/>
        <extend val="0"/>
        <outline val="0"/>
        <shadow val="0"/>
        <u val="none"/>
        <vertAlign val="baseline"/>
        <sz val="11"/>
        <color theme="1"/>
        <name val="Calibri"/>
        <family val="2"/>
        <charset val="238"/>
        <scheme val="minor"/>
      </font>
    </dxf>
    <dxf>
      <font>
        <b/>
        <i val="0"/>
        <strike val="0"/>
        <condense val="0"/>
        <extend val="0"/>
        <outline val="0"/>
        <shadow val="0"/>
        <u val="none"/>
        <vertAlign val="baseline"/>
        <sz val="11"/>
        <color theme="1"/>
        <name val="Calibri"/>
        <family val="2"/>
        <charset val="238"/>
        <scheme val="minor"/>
      </font>
    </dxf>
    <dxf>
      <font>
        <b/>
        <i val="0"/>
        <strike val="0"/>
        <condense val="0"/>
        <extend val="0"/>
        <outline val="0"/>
        <shadow val="0"/>
        <u val="none"/>
        <vertAlign val="baseline"/>
        <sz val="11"/>
        <color theme="1"/>
        <name val="Calibri"/>
        <family val="2"/>
        <charset val="238"/>
        <scheme val="minor"/>
      </font>
    </dxf>
    <dxf>
      <font>
        <b/>
        <i val="0"/>
        <strike val="0"/>
        <condense val="0"/>
        <extend val="0"/>
        <outline val="0"/>
        <shadow val="0"/>
        <u val="none"/>
        <vertAlign val="baseline"/>
        <sz val="11"/>
        <color theme="1"/>
        <name val="Calibri"/>
        <family val="2"/>
        <charset val="238"/>
        <scheme val="minor"/>
      </font>
    </dxf>
    <dxf>
      <font>
        <b/>
        <i val="0"/>
        <strike val="0"/>
        <condense val="0"/>
        <extend val="0"/>
        <outline val="0"/>
        <shadow val="0"/>
        <u val="none"/>
        <vertAlign val="baseline"/>
        <sz val="11"/>
        <color theme="1"/>
        <name val="Calibri"/>
        <family val="2"/>
        <charset val="238"/>
        <scheme val="minor"/>
      </font>
    </dxf>
    <dxf>
      <font>
        <b/>
        <i val="0"/>
        <strike val="0"/>
        <condense val="0"/>
        <extend val="0"/>
        <outline val="0"/>
        <shadow val="0"/>
        <u val="none"/>
        <vertAlign val="baseline"/>
        <sz val="11"/>
        <color theme="1"/>
        <name val="Calibri"/>
        <family val="2"/>
        <charset val="238"/>
        <scheme val="minor"/>
      </font>
    </dxf>
    <dxf>
      <font>
        <b/>
        <i val="0"/>
        <strike val="0"/>
        <condense val="0"/>
        <extend val="0"/>
        <outline val="0"/>
        <shadow val="0"/>
        <u val="none"/>
        <vertAlign val="baseline"/>
        <sz val="11"/>
        <color theme="1"/>
        <name val="Calibri"/>
        <family val="2"/>
        <charset val="238"/>
        <scheme val="minor"/>
      </font>
    </dxf>
    <dxf>
      <font>
        <b/>
        <i val="0"/>
        <strike val="0"/>
        <condense val="0"/>
        <extend val="0"/>
        <outline val="0"/>
        <shadow val="0"/>
        <u val="none"/>
        <vertAlign val="baseline"/>
        <sz val="11"/>
        <color theme="1"/>
        <name val="Calibri"/>
        <family val="2"/>
        <charset val="238"/>
        <scheme val="minor"/>
      </font>
    </dxf>
    <dxf>
      <font>
        <b/>
        <i val="0"/>
        <strike val="0"/>
        <condense val="0"/>
        <extend val="0"/>
        <outline val="0"/>
        <shadow val="0"/>
        <u val="none"/>
        <vertAlign val="baseline"/>
        <sz val="11"/>
        <color theme="1"/>
        <name val="Calibri"/>
        <family val="2"/>
        <charset val="238"/>
        <scheme val="minor"/>
      </font>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charset val="238"/>
        <scheme val="minor"/>
      </font>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Calibri"/>
        <family val="2"/>
        <charset val="238"/>
        <scheme val="minor"/>
      </font>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i val="0"/>
        <strike val="0"/>
        <condense val="0"/>
        <extend val="0"/>
        <outline val="0"/>
        <shadow val="0"/>
        <u val="none"/>
        <vertAlign val="baseline"/>
        <sz val="11"/>
        <color theme="1"/>
        <name val="Calibri"/>
        <family val="2"/>
        <charset val="238"/>
        <scheme val="minor"/>
      </font>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charset val="238"/>
        <scheme val="minor"/>
      </font>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Calibri"/>
        <family val="2"/>
        <charset val="238"/>
        <scheme val="minor"/>
      </font>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vertical="center" textRotation="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Calibri"/>
        <family val="2"/>
        <charset val="238"/>
        <scheme val="minor"/>
      </font>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i val="0"/>
        <strike val="0"/>
        <condense val="0"/>
        <extend val="0"/>
        <outline val="0"/>
        <shadow val="0"/>
        <u val="none"/>
        <vertAlign val="baseline"/>
        <sz val="11"/>
        <color theme="1"/>
        <name val="Calibri"/>
        <family val="2"/>
        <charset val="238"/>
        <scheme val="minor"/>
      </font>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i val="0"/>
        <strike val="0"/>
        <condense val="0"/>
        <extend val="0"/>
        <outline val="0"/>
        <shadow val="0"/>
        <u val="none"/>
        <vertAlign val="baseline"/>
        <sz val="11"/>
        <color theme="1"/>
        <name val="Calibri"/>
        <family val="2"/>
        <charset val="238"/>
        <scheme val="minor"/>
      </font>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charset val="238"/>
        <scheme val="minor"/>
      </font>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9" formatCode="d/mm/yyyy"/>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1"/>
          <bgColor theme="1"/>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9" formatCode="d/mm/yyyy"/>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theme="1"/>
        <name val="Times New Roman"/>
        <family val="1"/>
        <charset val="238"/>
        <scheme val="none"/>
      </font>
      <fill>
        <patternFill patternType="none">
          <fgColor indexed="64"/>
          <bgColor auto="1"/>
        </patternFill>
      </fill>
      <border diagonalUp="0" diagonalDown="0">
        <left style="thin">
          <color indexed="64"/>
        </left>
        <right/>
        <top style="thin">
          <color indexed="64"/>
        </top>
        <bottom style="thin">
          <color indexed="64"/>
        </bottom>
      </border>
    </dxf>
    <dxf>
      <font>
        <strike val="0"/>
        <outline val="0"/>
        <shadow val="0"/>
        <u val="none"/>
        <vertAlign val="baseline"/>
        <sz val="10"/>
        <color theme="1"/>
        <name val="Times New Roman"/>
        <family val="1"/>
        <charset val="238"/>
        <scheme val="none"/>
      </font>
      <fill>
        <patternFill patternType="none">
          <fgColor indexed="64"/>
          <bgColor auto="1"/>
        </patternFill>
      </fill>
      <border diagonalUp="0" diagonalDown="0" outline="0">
        <left style="thin">
          <color indexed="64"/>
        </left>
        <right/>
        <top style="thin">
          <color indexed="64"/>
        </top>
        <bottom style="thin">
          <color indexed="64"/>
        </bottom>
      </border>
    </dxf>
    <dxf>
      <font>
        <strike val="0"/>
        <outline val="0"/>
        <shadow val="0"/>
        <u val="none"/>
        <vertAlign val="baseline"/>
        <sz val="10"/>
        <color theme="1"/>
        <name val="Times New Roman"/>
        <family val="1"/>
        <charset val="238"/>
        <scheme val="none"/>
      </font>
      <fill>
        <patternFill patternType="none">
          <fgColor indexed="64"/>
          <bgColor auto="1"/>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theme="1"/>
        <name val="Times New Roman"/>
        <family val="1"/>
        <charset val="238"/>
        <scheme val="none"/>
      </font>
      <fill>
        <patternFill patternType="none">
          <fgColor indexed="64"/>
          <bgColor auto="1"/>
        </patternFill>
      </fill>
    </dxf>
    <dxf>
      <border>
        <bottom style="thin">
          <color indexed="64"/>
        </bottom>
      </border>
    </dxf>
    <dxf>
      <font>
        <b/>
        <strike val="0"/>
        <outline val="0"/>
        <shadow val="0"/>
        <u val="none"/>
        <vertAlign val="baseline"/>
        <sz val="10"/>
        <color theme="1"/>
        <name val="Times New Roman"/>
        <family val="1"/>
        <charset val="238"/>
        <scheme val="none"/>
      </font>
      <fill>
        <patternFill patternType="none">
          <fgColor indexed="64"/>
          <bgColor auto="1"/>
        </patternFill>
      </fill>
      <border diagonalUp="0" diagonalDown="0" outline="0">
        <left style="thin">
          <color indexed="64"/>
        </left>
        <right style="thin">
          <color indexed="64"/>
        </right>
        <top/>
        <bottom/>
      </border>
    </dxf>
    <dxf>
      <alignment horizontal="general" vertical="center" textRotation="0" wrapText="1" indent="0" justifyLastLine="0" shrinkToFit="0" readingOrder="0"/>
      <border diagonalUp="0" diagonalDown="0">
        <left style="thin">
          <color indexed="64"/>
        </left>
        <right/>
        <top style="thin">
          <color indexed="64"/>
        </top>
        <bottom/>
        <vertical/>
        <horizontal/>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top style="thin">
          <color indexed="64"/>
        </top>
        <bottom/>
        <vertical/>
        <horizontal/>
      </border>
    </dxf>
    <dxf>
      <alignment horizontal="general" vertical="center" textRotation="0" wrapText="1" indent="0" justifyLastLine="0" shrinkToFit="0" readingOrder="0"/>
      <border diagonalUp="0" diagonalDown="0">
        <left style="thin">
          <color indexed="64"/>
        </left>
        <right/>
        <top style="thin">
          <color indexed="64"/>
        </top>
        <bottom/>
        <vertical/>
        <horizontal/>
      </border>
    </dxf>
    <dxf>
      <alignment horizontal="general" vertical="center" textRotation="0" wrapText="1" indent="0" justifyLastLine="0" shrinkToFit="0" readingOrder="0"/>
      <border diagonalUp="0" diagonalDown="0">
        <left style="thin">
          <color indexed="64"/>
        </left>
        <right/>
        <top style="thin">
          <color indexed="64"/>
        </top>
        <bottom/>
        <vertical/>
        <horizontal/>
      </border>
    </dxf>
    <dxf>
      <alignment horizontal="general" vertical="center" textRotation="0" wrapText="1" indent="0" justifyLastLine="0" shrinkToFit="0" readingOrder="0"/>
      <border diagonalUp="0" diagonalDown="0">
        <left style="thin">
          <color indexed="64"/>
        </left>
        <right/>
        <top style="thin">
          <color indexed="64"/>
        </top>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38"/>
        <scheme val="minor"/>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mm/yyyy"/>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3.xml"/><Relationship Id="rId39" Type="http://schemas.openxmlformats.org/officeDocument/2006/relationships/calcChain" Target="calcChain.xml"/><Relationship Id="rId21" Type="http://schemas.openxmlformats.org/officeDocument/2006/relationships/worksheet" Target="worksheets/sheet21.xml"/><Relationship Id="rId34"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33" Type="http://schemas.openxmlformats.org/officeDocument/2006/relationships/pivotCacheDefinition" Target="pivotCache/pivotCacheDefinition10.xml"/><Relationship Id="rId38"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openxmlformats.org/officeDocument/2006/relationships/pivotCacheDefinition" Target="pivotCache/pivotCacheDefinition9.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5.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4.xml"/><Relationship Id="rId30" Type="http://schemas.openxmlformats.org/officeDocument/2006/relationships/pivotCacheDefinition" Target="pivotCache/pivotCacheDefinition7.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0.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2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2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2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r>
              <a:rPr lang="sl-SI">
                <a:solidFill>
                  <a:schemeClr val="tx1"/>
                </a:solidFill>
              </a:rPr>
              <a:t>Croatia policy rating</a:t>
            </a:r>
            <a:endParaRPr lang="en-US">
              <a:solidFill>
                <a:schemeClr val="tx1"/>
              </a:solidFill>
            </a:endParaRPr>
          </a:p>
        </c:rich>
      </c:tx>
      <c:overlay val="0"/>
      <c:spPr>
        <a:noFill/>
        <a:ln>
          <a:noFill/>
        </a:ln>
        <a:effectLst/>
      </c:spPr>
    </c:title>
    <c:autoTitleDeleted val="0"/>
    <c:plotArea>
      <c:layout/>
      <c:lineChart>
        <c:grouping val="standard"/>
        <c:varyColors val="0"/>
        <c:ser>
          <c:idx val="0"/>
          <c:order val="0"/>
          <c:tx>
            <c:strRef>
              <c:f>'Croatia_Rating'!$C$1</c:f>
              <c:strCache>
                <c:ptCount val="1"/>
                <c:pt idx="0">
                  <c:v>Rating Value</c:v>
                </c:pt>
              </c:strCache>
            </c:strRef>
          </c:tx>
          <c:marker>
            <c:symbol val="none"/>
          </c:marker>
          <c:dLbls>
            <c:spPr>
              <a:gradFill>
                <a:gsLst>
                  <a:gs pos="100000">
                    <a:schemeClr val="lt1">
                      <a:lumMod val="95000"/>
                    </a:schemeClr>
                  </a:gs>
                  <a:gs pos="0">
                    <a:schemeClr val="lt1"/>
                  </a:gs>
                </a:gsLst>
                <a:lin ang="5400000" scaled="0"/>
              </a:gradFill>
              <a:ln>
                <a:noFill/>
              </a:ln>
              <a:effectLst/>
            </c:spPr>
            <c:txPr>
              <a:bodyPr rot="0" spcFirstLastPara="1" vertOverflow="ellipsis" vert="horz" wrap="square" lIns="36000" tIns="0" rIns="36000" bIns="0" anchor="t"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sl-SI"/>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dk1">
                          <a:lumMod val="35000"/>
                          <a:lumOff val="65000"/>
                        </a:schemeClr>
                      </a:solidFill>
                    </a:ln>
                    <a:effectLst/>
                  </c:spPr>
                </c15:leaderLines>
              </c:ext>
            </c:extLst>
          </c:dLbls>
          <c:cat>
            <c:numRef>
              <c:f>Slovenia_Rating!$A$2:$A$12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'Croatia_Rating'!$C$2:$C$12</c:f>
              <c:numCache>
                <c:formatCode>General</c:formatCode>
                <c:ptCount val="11"/>
                <c:pt idx="0">
                  <c:v>8</c:v>
                </c:pt>
                <c:pt idx="1">
                  <c:v>8.32</c:v>
                </c:pt>
                <c:pt idx="2">
                  <c:v>8.32</c:v>
                </c:pt>
                <c:pt idx="3">
                  <c:v>4.32</c:v>
                </c:pt>
                <c:pt idx="4">
                  <c:v>2.3400000000000003</c:v>
                </c:pt>
                <c:pt idx="5">
                  <c:v>0.68000000000000016</c:v>
                </c:pt>
                <c:pt idx="6">
                  <c:v>0.68000000000000016</c:v>
                </c:pt>
                <c:pt idx="7">
                  <c:v>1.6600000000000001</c:v>
                </c:pt>
                <c:pt idx="8">
                  <c:v>1.6000000000000014</c:v>
                </c:pt>
                <c:pt idx="9">
                  <c:v>-0.4199999999999986</c:v>
                </c:pt>
                <c:pt idx="10">
                  <c:v>0.57000000000000139</c:v>
                </c:pt>
              </c:numCache>
            </c:numRef>
          </c:val>
          <c:smooth val="0"/>
          <c:extLst>
            <c:ext xmlns:c16="http://schemas.microsoft.com/office/drawing/2014/chart" uri="{C3380CC4-5D6E-409C-BE32-E72D297353CC}">
              <c16:uniqueId val="{00000002-EF1C-48C9-83BA-861FE1C0FE15}"/>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560804848"/>
        <c:axId val="1560806768"/>
      </c:lineChart>
      <c:catAx>
        <c:axId val="1560804848"/>
        <c:scaling>
          <c:orientation val="minMax"/>
        </c:scaling>
        <c:delete val="0"/>
        <c:axPos val="b"/>
        <c:majorGridlines>
          <c:spPr>
            <a:ln>
              <a:solidFill>
                <a:schemeClr val="dk1">
                  <a:lumMod val="15000"/>
                  <a:lumOff val="85000"/>
                  <a:alpha val="0"/>
                </a:schemeClr>
              </a:solidFill>
            </a:ln>
          </c:spPr>
        </c:majorGridlines>
        <c:minorGridlines/>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6768"/>
        <c:crosses val="autoZero"/>
        <c:auto val="1"/>
        <c:lblAlgn val="ctr"/>
        <c:lblOffset val="0"/>
        <c:noMultiLvlLbl val="0"/>
      </c:catAx>
      <c:valAx>
        <c:axId val="1560806768"/>
        <c:scaling>
          <c:orientation val="minMax"/>
          <c:min val="-5"/>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484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sl-SI"/>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sl-SI"/>
              <a:t>Bosnia and Herzegovina policy rating</a:t>
            </a:r>
            <a:endParaRPr lang="en-US"/>
          </a:p>
        </c:rich>
      </c:tx>
      <c:overlay val="0"/>
      <c:spPr>
        <a:noFill/>
        <a:ln>
          <a:noFill/>
        </a:ln>
        <a:effectLst/>
      </c:spPr>
    </c:title>
    <c:autoTitleDeleted val="0"/>
    <c:plotArea>
      <c:layout/>
      <c:lineChart>
        <c:grouping val="standard"/>
        <c:varyColors val="0"/>
        <c:ser>
          <c:idx val="0"/>
          <c:order val="0"/>
          <c:tx>
            <c:strRef>
              <c:f>Bosnia_and_Herzegovina_Rating!$C$4</c:f>
              <c:strCache>
                <c:ptCount val="1"/>
                <c:pt idx="0">
                  <c:v>Rating Value</c:v>
                </c:pt>
              </c:strCache>
            </c:strRef>
          </c:tx>
          <c:marker>
            <c:symbol val="none"/>
          </c:marker>
          <c:dLbls>
            <c:spPr>
              <a:gradFill>
                <a:gsLst>
                  <a:gs pos="100000">
                    <a:schemeClr val="lt1">
                      <a:lumMod val="95000"/>
                    </a:schemeClr>
                  </a:gs>
                  <a:gs pos="0">
                    <a:schemeClr val="lt1"/>
                  </a:gs>
                </a:gsLst>
                <a:lin ang="5400000" scaled="0"/>
              </a:gradFill>
              <a:ln>
                <a:noFill/>
              </a:ln>
              <a:effectLst/>
            </c:spPr>
            <c:txPr>
              <a:bodyPr rot="0" spcFirstLastPara="1" vertOverflow="ellipsis" vert="horz" wrap="square" lIns="36000" tIns="0" rIns="36000" bIns="0" anchor="t"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sl-SI"/>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dk1">
                          <a:lumMod val="35000"/>
                          <a:lumOff val="65000"/>
                        </a:schemeClr>
                      </a:solidFill>
                    </a:ln>
                    <a:effectLst/>
                  </c:spPr>
                </c15:leaderLines>
              </c:ext>
            </c:extLst>
          </c:dLbls>
          <c:cat>
            <c:numRef>
              <c:f>Slovenia_Rating!$A$2:$A$12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Bosnia_and_Herzegovina_Rating!$C$5:$C$15</c:f>
              <c:numCache>
                <c:formatCode>General</c:formatCode>
                <c:ptCount val="11"/>
                <c:pt idx="0">
                  <c:v>4</c:v>
                </c:pt>
                <c:pt idx="1">
                  <c:v>8.9600000000000009</c:v>
                </c:pt>
                <c:pt idx="2">
                  <c:v>10.940000000000001</c:v>
                </c:pt>
                <c:pt idx="3">
                  <c:v>6.9400000000000013</c:v>
                </c:pt>
                <c:pt idx="4">
                  <c:v>6.9400000000000013</c:v>
                </c:pt>
                <c:pt idx="5">
                  <c:v>4.6000000000000014</c:v>
                </c:pt>
                <c:pt idx="6">
                  <c:v>2.2600000000000016</c:v>
                </c:pt>
                <c:pt idx="7">
                  <c:v>0.26000000000000156</c:v>
                </c:pt>
                <c:pt idx="8">
                  <c:v>1.5800000000000016</c:v>
                </c:pt>
                <c:pt idx="9">
                  <c:v>2.9000000000000017</c:v>
                </c:pt>
                <c:pt idx="10">
                  <c:v>2.9000000000000017</c:v>
                </c:pt>
              </c:numCache>
            </c:numRef>
          </c:val>
          <c:smooth val="0"/>
          <c:extLst>
            <c:ext xmlns:c16="http://schemas.microsoft.com/office/drawing/2014/chart" uri="{C3380CC4-5D6E-409C-BE32-E72D297353CC}">
              <c16:uniqueId val="{00000000-3F17-4665-A6CD-506BB8DAB470}"/>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560804848"/>
        <c:axId val="1560806768"/>
      </c:lineChart>
      <c:catAx>
        <c:axId val="1560804848"/>
        <c:scaling>
          <c:orientation val="minMax"/>
        </c:scaling>
        <c:delete val="0"/>
        <c:axPos val="b"/>
        <c:majorGridlines>
          <c:spPr>
            <a:ln>
              <a:solidFill>
                <a:schemeClr val="dk1">
                  <a:lumMod val="15000"/>
                  <a:lumOff val="85000"/>
                  <a:alpha val="0"/>
                </a:schemeClr>
              </a:solidFill>
            </a:ln>
          </c:spPr>
        </c:majorGridlines>
        <c:minorGridlines/>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6768"/>
        <c:crosses val="autoZero"/>
        <c:auto val="1"/>
        <c:lblAlgn val="ctr"/>
        <c:lblOffset val="0"/>
        <c:noMultiLvlLbl val="0"/>
      </c:catAx>
      <c:valAx>
        <c:axId val="1560806768"/>
        <c:scaling>
          <c:orientation val="minMax"/>
          <c:min val="-5"/>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484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sl-SI"/>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sl-SI"/>
              <a:t>Serbia policy rating</a:t>
            </a:r>
            <a:endParaRPr lang="en-US"/>
          </a:p>
        </c:rich>
      </c:tx>
      <c:overlay val="0"/>
      <c:spPr>
        <a:noFill/>
        <a:ln>
          <a:noFill/>
        </a:ln>
        <a:effectLst/>
      </c:spPr>
    </c:title>
    <c:autoTitleDeleted val="0"/>
    <c:plotArea>
      <c:layout/>
      <c:lineChart>
        <c:grouping val="standard"/>
        <c:varyColors val="0"/>
        <c:ser>
          <c:idx val="0"/>
          <c:order val="0"/>
          <c:tx>
            <c:strRef>
              <c:f>Serbia_Rating!$C$1</c:f>
              <c:strCache>
                <c:ptCount val="1"/>
                <c:pt idx="0">
                  <c:v>Rating Value</c:v>
                </c:pt>
              </c:strCache>
            </c:strRef>
          </c:tx>
          <c:marker>
            <c:symbol val="none"/>
          </c:marker>
          <c:dLbls>
            <c:spPr>
              <a:gradFill>
                <a:gsLst>
                  <a:gs pos="100000">
                    <a:schemeClr val="lt1">
                      <a:lumMod val="95000"/>
                    </a:schemeClr>
                  </a:gs>
                  <a:gs pos="0">
                    <a:schemeClr val="lt1"/>
                  </a:gs>
                </a:gsLst>
                <a:lin ang="5400000" scaled="0"/>
              </a:gradFill>
              <a:ln>
                <a:noFill/>
              </a:ln>
              <a:effectLst/>
            </c:spPr>
            <c:txPr>
              <a:bodyPr rot="0" spcFirstLastPara="1" vertOverflow="ellipsis" vert="horz" wrap="square" lIns="36000" tIns="0" rIns="36000" bIns="0" anchor="t"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sl-SI"/>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dk1">
                          <a:lumMod val="35000"/>
                          <a:lumOff val="65000"/>
                        </a:schemeClr>
                      </a:solidFill>
                    </a:ln>
                    <a:effectLst/>
                  </c:spPr>
                </c15:leaderLines>
              </c:ext>
            </c:extLst>
          </c:dLbls>
          <c:cat>
            <c:numRef>
              <c:f>Slovenia_Rating!$A$2:$A$12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Serbia_Rating!$C$2:$C$12</c:f>
              <c:numCache>
                <c:formatCode>General</c:formatCode>
                <c:ptCount val="11"/>
                <c:pt idx="0">
                  <c:v>0</c:v>
                </c:pt>
                <c:pt idx="1">
                  <c:v>0</c:v>
                </c:pt>
                <c:pt idx="2">
                  <c:v>0</c:v>
                </c:pt>
                <c:pt idx="3">
                  <c:v>7.2900000000000009</c:v>
                </c:pt>
                <c:pt idx="4">
                  <c:v>7.2900000000000009</c:v>
                </c:pt>
                <c:pt idx="5">
                  <c:v>6.9600000000000009</c:v>
                </c:pt>
                <c:pt idx="6">
                  <c:v>6.9600000000000009</c:v>
                </c:pt>
                <c:pt idx="7">
                  <c:v>6.9600000000000009</c:v>
                </c:pt>
                <c:pt idx="8">
                  <c:v>6.6000000000000014</c:v>
                </c:pt>
                <c:pt idx="9">
                  <c:v>7.8800000000000017</c:v>
                </c:pt>
                <c:pt idx="10">
                  <c:v>6.5600000000000014</c:v>
                </c:pt>
              </c:numCache>
            </c:numRef>
          </c:val>
          <c:smooth val="0"/>
          <c:extLst>
            <c:ext xmlns:c16="http://schemas.microsoft.com/office/drawing/2014/chart" uri="{C3380CC4-5D6E-409C-BE32-E72D297353CC}">
              <c16:uniqueId val="{00000000-E389-4E32-B029-DD4B96C0354D}"/>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560804848"/>
        <c:axId val="1560806768"/>
      </c:lineChart>
      <c:catAx>
        <c:axId val="1560804848"/>
        <c:scaling>
          <c:orientation val="minMax"/>
        </c:scaling>
        <c:delete val="0"/>
        <c:axPos val="b"/>
        <c:majorGridlines>
          <c:spPr>
            <a:ln>
              <a:solidFill>
                <a:schemeClr val="dk1">
                  <a:lumMod val="15000"/>
                  <a:lumOff val="85000"/>
                  <a:alpha val="0"/>
                </a:schemeClr>
              </a:solidFill>
            </a:ln>
          </c:spPr>
        </c:majorGridlines>
        <c:minorGridlines/>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6768"/>
        <c:crosses val="autoZero"/>
        <c:auto val="1"/>
        <c:lblAlgn val="ctr"/>
        <c:lblOffset val="0"/>
        <c:noMultiLvlLbl val="0"/>
      </c:catAx>
      <c:valAx>
        <c:axId val="1560806768"/>
        <c:scaling>
          <c:orientation val="minMax"/>
          <c:min val="-5"/>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484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sl-SI"/>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sl-SI"/>
              <a:t>North Macedonia policy rating</a:t>
            </a:r>
            <a:endParaRPr lang="en-US"/>
          </a:p>
        </c:rich>
      </c:tx>
      <c:overlay val="0"/>
      <c:spPr>
        <a:noFill/>
        <a:ln>
          <a:noFill/>
        </a:ln>
        <a:effectLst/>
      </c:spPr>
    </c:title>
    <c:autoTitleDeleted val="0"/>
    <c:plotArea>
      <c:layout/>
      <c:lineChart>
        <c:grouping val="standard"/>
        <c:varyColors val="0"/>
        <c:ser>
          <c:idx val="0"/>
          <c:order val="0"/>
          <c:tx>
            <c:strRef>
              <c:f>North_Macedonia_Rating!$C$1</c:f>
              <c:strCache>
                <c:ptCount val="1"/>
                <c:pt idx="0">
                  <c:v>Rating Value</c:v>
                </c:pt>
              </c:strCache>
            </c:strRef>
          </c:tx>
          <c:marker>
            <c:symbol val="none"/>
          </c:marker>
          <c:dLbls>
            <c:spPr>
              <a:gradFill>
                <a:gsLst>
                  <a:gs pos="100000">
                    <a:schemeClr val="lt1">
                      <a:lumMod val="95000"/>
                    </a:schemeClr>
                  </a:gs>
                  <a:gs pos="0">
                    <a:schemeClr val="lt1"/>
                  </a:gs>
                </a:gsLst>
                <a:lin ang="5400000" scaled="0"/>
              </a:gradFill>
              <a:ln>
                <a:noFill/>
              </a:ln>
              <a:effectLst/>
            </c:spPr>
            <c:txPr>
              <a:bodyPr rot="0" spcFirstLastPara="1" vertOverflow="ellipsis" vert="horz" wrap="square" lIns="36000" tIns="0" rIns="36000" bIns="0" anchor="t"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sl-SI"/>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dk1">
                          <a:lumMod val="35000"/>
                          <a:lumOff val="65000"/>
                        </a:schemeClr>
                      </a:solidFill>
                    </a:ln>
                    <a:effectLst/>
                  </c:spPr>
                </c15:leaderLines>
              </c:ext>
            </c:extLst>
          </c:dLbls>
          <c:cat>
            <c:numRef>
              <c:f>Slovenia_Rating!$A$2:$A$12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North_Macedonia_Rating!$C$2:$C$12</c:f>
              <c:numCache>
                <c:formatCode>General</c:formatCode>
                <c:ptCount val="11"/>
                <c:pt idx="0">
                  <c:v>-2</c:v>
                </c:pt>
                <c:pt idx="1">
                  <c:v>-2</c:v>
                </c:pt>
                <c:pt idx="2">
                  <c:v>-2</c:v>
                </c:pt>
                <c:pt idx="3">
                  <c:v>1</c:v>
                </c:pt>
                <c:pt idx="4">
                  <c:v>1</c:v>
                </c:pt>
                <c:pt idx="5">
                  <c:v>-0.32000000000000006</c:v>
                </c:pt>
                <c:pt idx="6">
                  <c:v>-0.32000000000000006</c:v>
                </c:pt>
                <c:pt idx="7">
                  <c:v>5.62</c:v>
                </c:pt>
                <c:pt idx="8">
                  <c:v>7.6</c:v>
                </c:pt>
                <c:pt idx="9">
                  <c:v>7.6</c:v>
                </c:pt>
                <c:pt idx="10">
                  <c:v>7.6</c:v>
                </c:pt>
              </c:numCache>
            </c:numRef>
          </c:val>
          <c:smooth val="0"/>
          <c:extLst>
            <c:ext xmlns:c16="http://schemas.microsoft.com/office/drawing/2014/chart" uri="{C3380CC4-5D6E-409C-BE32-E72D297353CC}">
              <c16:uniqueId val="{00000000-47C1-41F8-9E2B-35ECBC03AD4E}"/>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560804848"/>
        <c:axId val="1560806768"/>
      </c:lineChart>
      <c:catAx>
        <c:axId val="1560804848"/>
        <c:scaling>
          <c:orientation val="minMax"/>
        </c:scaling>
        <c:delete val="0"/>
        <c:axPos val="b"/>
        <c:majorGridlines>
          <c:spPr>
            <a:ln>
              <a:solidFill>
                <a:schemeClr val="dk1">
                  <a:lumMod val="15000"/>
                  <a:lumOff val="85000"/>
                  <a:alpha val="0"/>
                </a:schemeClr>
              </a:solidFill>
            </a:ln>
          </c:spPr>
        </c:majorGridlines>
        <c:minorGridlines/>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6768"/>
        <c:crosses val="autoZero"/>
        <c:auto val="1"/>
        <c:lblAlgn val="ctr"/>
        <c:lblOffset val="0"/>
        <c:noMultiLvlLbl val="0"/>
      </c:catAx>
      <c:valAx>
        <c:axId val="1560806768"/>
        <c:scaling>
          <c:orientation val="minMax"/>
          <c:min val="-5"/>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484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sl-SI"/>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sl-SI"/>
              <a:t>Montenegro policy rating</a:t>
            </a:r>
            <a:endParaRPr lang="en-US"/>
          </a:p>
        </c:rich>
      </c:tx>
      <c:overlay val="0"/>
      <c:spPr>
        <a:noFill/>
        <a:ln>
          <a:noFill/>
        </a:ln>
        <a:effectLst/>
      </c:spPr>
    </c:title>
    <c:autoTitleDeleted val="0"/>
    <c:plotArea>
      <c:layout/>
      <c:lineChart>
        <c:grouping val="standard"/>
        <c:varyColors val="0"/>
        <c:ser>
          <c:idx val="0"/>
          <c:order val="0"/>
          <c:tx>
            <c:strRef>
              <c:f>Montenegro_Rating!$C$1</c:f>
              <c:strCache>
                <c:ptCount val="1"/>
                <c:pt idx="0">
                  <c:v>Rating Value</c:v>
                </c:pt>
              </c:strCache>
            </c:strRef>
          </c:tx>
          <c:marker>
            <c:symbol val="none"/>
          </c:marker>
          <c:dLbls>
            <c:spPr>
              <a:gradFill>
                <a:gsLst>
                  <a:gs pos="100000">
                    <a:schemeClr val="lt1">
                      <a:lumMod val="95000"/>
                    </a:schemeClr>
                  </a:gs>
                  <a:gs pos="0">
                    <a:schemeClr val="lt1"/>
                  </a:gs>
                </a:gsLst>
                <a:lin ang="5400000" scaled="0"/>
              </a:gradFill>
              <a:ln>
                <a:noFill/>
              </a:ln>
              <a:effectLst/>
            </c:spPr>
            <c:txPr>
              <a:bodyPr rot="0" spcFirstLastPara="1" vertOverflow="ellipsis" vert="horz" wrap="square" lIns="36000" tIns="0" rIns="36000" bIns="0" anchor="t"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sl-SI"/>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dk1">
                          <a:lumMod val="35000"/>
                          <a:lumOff val="65000"/>
                        </a:schemeClr>
                      </a:solidFill>
                    </a:ln>
                    <a:effectLst/>
                  </c:spPr>
                </c15:leaderLines>
              </c:ext>
            </c:extLst>
          </c:dLbls>
          <c:cat>
            <c:numRef>
              <c:f>Slovenia_Rating!$A$2:$A$12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Montenegro_Rating!$C$2:$C$12</c:f>
              <c:numCache>
                <c:formatCode>General</c:formatCode>
                <c:ptCount val="11"/>
                <c:pt idx="0">
                  <c:v>2</c:v>
                </c:pt>
                <c:pt idx="1">
                  <c:v>3.98</c:v>
                </c:pt>
                <c:pt idx="2">
                  <c:v>3.98</c:v>
                </c:pt>
                <c:pt idx="3">
                  <c:v>4.6399999999999997</c:v>
                </c:pt>
                <c:pt idx="4">
                  <c:v>4.6399999999999997</c:v>
                </c:pt>
                <c:pt idx="5">
                  <c:v>4.6399999999999997</c:v>
                </c:pt>
                <c:pt idx="6">
                  <c:v>5.3</c:v>
                </c:pt>
                <c:pt idx="7">
                  <c:v>5.3</c:v>
                </c:pt>
                <c:pt idx="8">
                  <c:v>6.62</c:v>
                </c:pt>
                <c:pt idx="9">
                  <c:v>6.62</c:v>
                </c:pt>
                <c:pt idx="10">
                  <c:v>6.62</c:v>
                </c:pt>
              </c:numCache>
            </c:numRef>
          </c:val>
          <c:smooth val="0"/>
          <c:extLst>
            <c:ext xmlns:c16="http://schemas.microsoft.com/office/drawing/2014/chart" uri="{C3380CC4-5D6E-409C-BE32-E72D297353CC}">
              <c16:uniqueId val="{00000000-23CD-4BCD-AFDE-18E1196FC454}"/>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560804848"/>
        <c:axId val="1560806768"/>
      </c:lineChart>
      <c:catAx>
        <c:axId val="1560804848"/>
        <c:scaling>
          <c:orientation val="minMax"/>
        </c:scaling>
        <c:delete val="0"/>
        <c:axPos val="b"/>
        <c:majorGridlines>
          <c:spPr>
            <a:ln>
              <a:solidFill>
                <a:schemeClr val="dk1">
                  <a:lumMod val="15000"/>
                  <a:lumOff val="85000"/>
                  <a:alpha val="0"/>
                </a:schemeClr>
              </a:solidFill>
            </a:ln>
          </c:spPr>
        </c:majorGridlines>
        <c:minorGridlines/>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6768"/>
        <c:crosses val="autoZero"/>
        <c:auto val="1"/>
        <c:lblAlgn val="ctr"/>
        <c:lblOffset val="0"/>
        <c:noMultiLvlLbl val="0"/>
      </c:catAx>
      <c:valAx>
        <c:axId val="1560806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484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sl-SI"/>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sl-SI"/>
              <a:t>Albania policy rating</a:t>
            </a:r>
            <a:endParaRPr lang="en-US"/>
          </a:p>
        </c:rich>
      </c:tx>
      <c:overlay val="0"/>
      <c:spPr>
        <a:noFill/>
        <a:ln>
          <a:noFill/>
        </a:ln>
        <a:effectLst/>
      </c:spPr>
    </c:title>
    <c:autoTitleDeleted val="0"/>
    <c:plotArea>
      <c:layout/>
      <c:lineChart>
        <c:grouping val="standard"/>
        <c:varyColors val="0"/>
        <c:ser>
          <c:idx val="0"/>
          <c:order val="0"/>
          <c:tx>
            <c:strRef>
              <c:f>Albania_Rating!$C$1</c:f>
              <c:strCache>
                <c:ptCount val="1"/>
                <c:pt idx="0">
                  <c:v>Rating Value</c:v>
                </c:pt>
              </c:strCache>
            </c:strRef>
          </c:tx>
          <c:marker>
            <c:symbol val="none"/>
          </c:marker>
          <c:dLbls>
            <c:spPr>
              <a:gradFill>
                <a:gsLst>
                  <a:gs pos="100000">
                    <a:schemeClr val="lt1">
                      <a:lumMod val="95000"/>
                    </a:schemeClr>
                  </a:gs>
                  <a:gs pos="0">
                    <a:schemeClr val="lt1"/>
                  </a:gs>
                </a:gsLst>
                <a:lin ang="5400000" scaled="0"/>
              </a:gradFill>
              <a:ln>
                <a:noFill/>
              </a:ln>
              <a:effectLst/>
            </c:spPr>
            <c:txPr>
              <a:bodyPr rot="0" spcFirstLastPara="1" vertOverflow="ellipsis" vert="horz" wrap="square" lIns="36000" tIns="0" rIns="36000" bIns="0" anchor="t"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sl-SI"/>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dk1">
                          <a:lumMod val="35000"/>
                          <a:lumOff val="65000"/>
                        </a:schemeClr>
                      </a:solidFill>
                    </a:ln>
                    <a:effectLst/>
                  </c:spPr>
                </c15:leaderLines>
              </c:ext>
            </c:extLst>
          </c:dLbls>
          <c:cat>
            <c:numRef>
              <c:f>Slovenia_Rating!$A$2:$A$12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Albania_Rating!$C$2:$C$12</c:f>
              <c:numCache>
                <c:formatCode>General</c:formatCode>
                <c:ptCount val="11"/>
                <c:pt idx="0">
                  <c:v>0</c:v>
                </c:pt>
                <c:pt idx="1">
                  <c:v>0.66</c:v>
                </c:pt>
                <c:pt idx="2">
                  <c:v>0.66</c:v>
                </c:pt>
                <c:pt idx="3">
                  <c:v>0.66</c:v>
                </c:pt>
                <c:pt idx="4">
                  <c:v>1.32</c:v>
                </c:pt>
                <c:pt idx="5">
                  <c:v>1.98</c:v>
                </c:pt>
                <c:pt idx="6">
                  <c:v>4.9800000000000004</c:v>
                </c:pt>
                <c:pt idx="7">
                  <c:v>4.9800000000000004</c:v>
                </c:pt>
                <c:pt idx="8">
                  <c:v>6.3000000000000007</c:v>
                </c:pt>
                <c:pt idx="9">
                  <c:v>3.6300000000000008</c:v>
                </c:pt>
                <c:pt idx="10">
                  <c:v>3.6300000000000008</c:v>
                </c:pt>
              </c:numCache>
            </c:numRef>
          </c:val>
          <c:smooth val="0"/>
          <c:extLst>
            <c:ext xmlns:c16="http://schemas.microsoft.com/office/drawing/2014/chart" uri="{C3380CC4-5D6E-409C-BE32-E72D297353CC}">
              <c16:uniqueId val="{00000000-6276-4558-B04C-D5D108591EF8}"/>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560804848"/>
        <c:axId val="1560806768"/>
      </c:lineChart>
      <c:catAx>
        <c:axId val="1560804848"/>
        <c:scaling>
          <c:orientation val="minMax"/>
        </c:scaling>
        <c:delete val="0"/>
        <c:axPos val="b"/>
        <c:majorGridlines>
          <c:spPr>
            <a:ln>
              <a:solidFill>
                <a:schemeClr val="dk1">
                  <a:lumMod val="15000"/>
                  <a:lumOff val="85000"/>
                  <a:alpha val="0"/>
                </a:schemeClr>
              </a:solidFill>
            </a:ln>
          </c:spPr>
        </c:majorGridlines>
        <c:minorGridlines/>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6768"/>
        <c:crosses val="autoZero"/>
        <c:auto val="1"/>
        <c:lblAlgn val="ctr"/>
        <c:lblOffset val="0"/>
        <c:noMultiLvlLbl val="0"/>
      </c:catAx>
      <c:valAx>
        <c:axId val="1560806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484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sl-SI"/>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sl-SI"/>
              <a:t>Kosovo policy rating</a:t>
            </a:r>
            <a:endParaRPr lang="en-US"/>
          </a:p>
        </c:rich>
      </c:tx>
      <c:overlay val="0"/>
      <c:spPr>
        <a:noFill/>
        <a:ln>
          <a:noFill/>
        </a:ln>
        <a:effectLst/>
      </c:spPr>
    </c:title>
    <c:autoTitleDeleted val="0"/>
    <c:plotArea>
      <c:layout/>
      <c:lineChart>
        <c:grouping val="standard"/>
        <c:varyColors val="0"/>
        <c:ser>
          <c:idx val="0"/>
          <c:order val="0"/>
          <c:tx>
            <c:strRef>
              <c:f>Kosovo_Rating!$C$1</c:f>
              <c:strCache>
                <c:ptCount val="1"/>
                <c:pt idx="0">
                  <c:v>Rating Value</c:v>
                </c:pt>
              </c:strCache>
            </c:strRef>
          </c:tx>
          <c:marker>
            <c:symbol val="none"/>
          </c:marker>
          <c:dLbls>
            <c:spPr>
              <a:gradFill>
                <a:gsLst>
                  <a:gs pos="100000">
                    <a:schemeClr val="lt1">
                      <a:lumMod val="95000"/>
                    </a:schemeClr>
                  </a:gs>
                  <a:gs pos="0">
                    <a:schemeClr val="lt1"/>
                  </a:gs>
                </a:gsLst>
                <a:lin ang="5400000" scaled="0"/>
              </a:gradFill>
              <a:ln>
                <a:noFill/>
              </a:ln>
              <a:effectLst/>
            </c:spPr>
            <c:txPr>
              <a:bodyPr rot="0" spcFirstLastPara="1" vertOverflow="ellipsis" vert="horz" wrap="square" lIns="36000" tIns="0" rIns="36000" bIns="0" anchor="t"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sl-SI"/>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dk1">
                          <a:lumMod val="35000"/>
                          <a:lumOff val="65000"/>
                        </a:schemeClr>
                      </a:solidFill>
                    </a:ln>
                    <a:effectLst/>
                  </c:spPr>
                </c15:leaderLines>
              </c:ext>
            </c:extLst>
          </c:dLbls>
          <c:cat>
            <c:numRef>
              <c:f>Slovenia_Rating!$A$2:$A$12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Kosovo_Rating!$C$2:$C$12</c:f>
              <c:numCache>
                <c:formatCode>General</c:formatCode>
                <c:ptCount val="11"/>
                <c:pt idx="0">
                  <c:v>0</c:v>
                </c:pt>
                <c:pt idx="1">
                  <c:v>1.32</c:v>
                </c:pt>
                <c:pt idx="2">
                  <c:v>1.32</c:v>
                </c:pt>
                <c:pt idx="3">
                  <c:v>4.32</c:v>
                </c:pt>
                <c:pt idx="4">
                  <c:v>6.3000000000000007</c:v>
                </c:pt>
                <c:pt idx="5">
                  <c:v>6.3000000000000007</c:v>
                </c:pt>
                <c:pt idx="6">
                  <c:v>7.620000000000001</c:v>
                </c:pt>
                <c:pt idx="7">
                  <c:v>7.620000000000001</c:v>
                </c:pt>
                <c:pt idx="8">
                  <c:v>7.620000000000001</c:v>
                </c:pt>
                <c:pt idx="9">
                  <c:v>7.620000000000001</c:v>
                </c:pt>
                <c:pt idx="10">
                  <c:v>7.620000000000001</c:v>
                </c:pt>
              </c:numCache>
            </c:numRef>
          </c:val>
          <c:smooth val="0"/>
          <c:extLst>
            <c:ext xmlns:c16="http://schemas.microsoft.com/office/drawing/2014/chart" uri="{C3380CC4-5D6E-409C-BE32-E72D297353CC}">
              <c16:uniqueId val="{00000000-B111-4E40-9BA9-F846AA3151CC}"/>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560804848"/>
        <c:axId val="1560806768"/>
      </c:lineChart>
      <c:catAx>
        <c:axId val="1560804848"/>
        <c:scaling>
          <c:orientation val="minMax"/>
        </c:scaling>
        <c:delete val="0"/>
        <c:axPos val="b"/>
        <c:majorGridlines>
          <c:spPr>
            <a:ln>
              <a:solidFill>
                <a:schemeClr val="dk1">
                  <a:lumMod val="15000"/>
                  <a:lumOff val="85000"/>
                  <a:alpha val="0"/>
                </a:schemeClr>
              </a:solidFill>
            </a:ln>
          </c:spPr>
        </c:majorGridlines>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6768"/>
        <c:crosses val="autoZero"/>
        <c:auto val="1"/>
        <c:lblAlgn val="ctr"/>
        <c:lblOffset val="0"/>
        <c:noMultiLvlLbl val="0"/>
      </c:catAx>
      <c:valAx>
        <c:axId val="1560806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484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sl-SI"/>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r>
              <a:rPr lang="sl-SI">
                <a:solidFill>
                  <a:schemeClr val="tx1"/>
                </a:solidFill>
              </a:rPr>
              <a:t>Slovenia policy rating</a:t>
            </a:r>
            <a:endParaRPr lang="en-US">
              <a:solidFill>
                <a:schemeClr val="tx1"/>
              </a:solidFill>
            </a:endParaRPr>
          </a:p>
        </c:rich>
      </c:tx>
      <c:overlay val="0"/>
      <c:spPr>
        <a:noFill/>
        <a:ln>
          <a:noFill/>
        </a:ln>
        <a:effectLst/>
      </c:spPr>
    </c:title>
    <c:autoTitleDeleted val="0"/>
    <c:plotArea>
      <c:layout/>
      <c:lineChart>
        <c:grouping val="standard"/>
        <c:varyColors val="0"/>
        <c:ser>
          <c:idx val="0"/>
          <c:order val="0"/>
          <c:tx>
            <c:strRef>
              <c:f>Slovenia_Rating!$C$1</c:f>
              <c:strCache>
                <c:ptCount val="1"/>
                <c:pt idx="0">
                  <c:v>Rating Value</c:v>
                </c:pt>
              </c:strCache>
            </c:strRef>
          </c:tx>
          <c:spPr>
            <a:ln w="22225" cap="rnd" cmpd="sng" algn="ctr">
              <a:solidFill>
                <a:schemeClr val="dk1">
                  <a:tint val="88500"/>
                </a:schemeClr>
              </a:solidFill>
              <a:round/>
            </a:ln>
            <a:effectLst/>
          </c:spPr>
          <c:marker>
            <c:symbol val="none"/>
          </c:marker>
          <c:dLbls>
            <c:numFmt formatCode="#,##0.00" sourceLinked="0"/>
            <c:spPr>
              <a:gradFill>
                <a:gsLst>
                  <a:gs pos="100000">
                    <a:schemeClr val="lt1">
                      <a:lumMod val="95000"/>
                    </a:schemeClr>
                  </a:gs>
                  <a:gs pos="0">
                    <a:schemeClr val="lt1"/>
                  </a:gs>
                </a:gsLst>
                <a:lin ang="5400000" scaled="0"/>
              </a:gradFill>
              <a:ln>
                <a:noFill/>
              </a:ln>
              <a:effectLst/>
            </c:spPr>
            <c:txPr>
              <a:bodyPr rot="0" spcFirstLastPara="1" vertOverflow="ellipsis" vert="horz" wrap="square" lIns="36000" tIns="0" rIns="36000" bIns="0" anchor="t"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sl-SI"/>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dk1">
                          <a:lumMod val="35000"/>
                          <a:lumOff val="65000"/>
                        </a:schemeClr>
                      </a:solidFill>
                    </a:ln>
                    <a:effectLst/>
                  </c:spPr>
                </c15:leaderLines>
              </c:ext>
            </c:extLst>
          </c:dLbls>
          <c:cat>
            <c:numRef>
              <c:f>Slovenia_Rating!$A$2:$A$12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Slovenia_Rating!$C$2:$C$12</c:f>
              <c:numCache>
                <c:formatCode>General</c:formatCode>
                <c:ptCount val="11"/>
                <c:pt idx="0">
                  <c:v>-2</c:v>
                </c:pt>
                <c:pt idx="1">
                  <c:v>-3</c:v>
                </c:pt>
                <c:pt idx="2">
                  <c:v>-3.02</c:v>
                </c:pt>
                <c:pt idx="3">
                  <c:v>0.94</c:v>
                </c:pt>
                <c:pt idx="4">
                  <c:v>0.28000000000000003</c:v>
                </c:pt>
                <c:pt idx="5">
                  <c:v>-0.72</c:v>
                </c:pt>
                <c:pt idx="6">
                  <c:v>-4.04</c:v>
                </c:pt>
                <c:pt idx="7">
                  <c:v>3.5900000000000007</c:v>
                </c:pt>
                <c:pt idx="8">
                  <c:v>6.8900000000000015</c:v>
                </c:pt>
                <c:pt idx="9">
                  <c:v>0.62000000000000188</c:v>
                </c:pt>
                <c:pt idx="10">
                  <c:v>2.6200000000000019</c:v>
                </c:pt>
              </c:numCache>
            </c:numRef>
          </c:val>
          <c:smooth val="0"/>
          <c:extLst>
            <c:ext xmlns:c16="http://schemas.microsoft.com/office/drawing/2014/chart" uri="{C3380CC4-5D6E-409C-BE32-E72D297353CC}">
              <c16:uniqueId val="{00000001-A6FF-4892-A3DE-5D8ABD779774}"/>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560804848"/>
        <c:axId val="1560806768"/>
      </c:lineChart>
      <c:catAx>
        <c:axId val="1560804848"/>
        <c:scaling>
          <c:orientation val="minMax"/>
        </c:scaling>
        <c:delete val="0"/>
        <c:axPos val="b"/>
        <c:majorGridlines>
          <c:spPr>
            <a:ln cap="flat">
              <a:solidFill>
                <a:schemeClr val="tx1">
                  <a:tint val="75000"/>
                  <a:alpha val="0"/>
                </a:schemeClr>
              </a:solidFill>
            </a:ln>
          </c:spPr>
        </c:majorGridlines>
        <c:minorGridlines/>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6768"/>
        <c:crosses val="autoZero"/>
        <c:auto val="1"/>
        <c:lblAlgn val="ctr"/>
        <c:lblOffset val="0"/>
        <c:noMultiLvlLbl val="0"/>
      </c:catAx>
      <c:valAx>
        <c:axId val="1560806768"/>
        <c:scaling>
          <c:orientation val="minMax"/>
          <c:min val="-5"/>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484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sl-SI"/>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sl-SI"/>
              <a:t>Hungary</a:t>
            </a:r>
            <a:r>
              <a:rPr lang="sl-SI" baseline="0"/>
              <a:t> </a:t>
            </a:r>
            <a:r>
              <a:rPr lang="sl-SI"/>
              <a:t>policy rating</a:t>
            </a:r>
            <a:endParaRPr lang="en-US"/>
          </a:p>
        </c:rich>
      </c:tx>
      <c:overlay val="0"/>
      <c:spPr>
        <a:noFill/>
        <a:ln>
          <a:noFill/>
        </a:ln>
        <a:effectLst/>
      </c:spPr>
    </c:title>
    <c:autoTitleDeleted val="0"/>
    <c:plotArea>
      <c:layout/>
      <c:lineChart>
        <c:grouping val="standard"/>
        <c:varyColors val="0"/>
        <c:ser>
          <c:idx val="0"/>
          <c:order val="0"/>
          <c:tx>
            <c:strRef>
              <c:f>Hungary_Rating!$C$1</c:f>
              <c:strCache>
                <c:ptCount val="1"/>
                <c:pt idx="0">
                  <c:v>Rating Value</c:v>
                </c:pt>
              </c:strCache>
            </c:strRef>
          </c:tx>
          <c:marker>
            <c:symbol val="none"/>
          </c:marker>
          <c:dLbls>
            <c:spPr>
              <a:gradFill>
                <a:gsLst>
                  <a:gs pos="100000">
                    <a:schemeClr val="lt1">
                      <a:lumMod val="95000"/>
                    </a:schemeClr>
                  </a:gs>
                  <a:gs pos="0">
                    <a:schemeClr val="lt1"/>
                  </a:gs>
                </a:gsLst>
                <a:lin ang="5400000" scaled="0"/>
              </a:gradFill>
              <a:ln>
                <a:noFill/>
              </a:ln>
              <a:effectLst/>
            </c:spPr>
            <c:txPr>
              <a:bodyPr rot="0" spcFirstLastPara="1" vertOverflow="ellipsis" vert="horz" wrap="square" lIns="36000" tIns="0" rIns="36000" bIns="0" anchor="t"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sl-SI"/>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dk1">
                          <a:lumMod val="35000"/>
                          <a:lumOff val="65000"/>
                        </a:schemeClr>
                      </a:solidFill>
                    </a:ln>
                    <a:effectLst/>
                  </c:spPr>
                </c15:leaderLines>
              </c:ext>
            </c:extLst>
          </c:dLbls>
          <c:cat>
            <c:numRef>
              <c:f>Slovenia_Rating!$A$2:$A$12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Hungary_Rating!$C$2:$C$12</c:f>
              <c:numCache>
                <c:formatCode>General</c:formatCode>
                <c:ptCount val="11"/>
                <c:pt idx="0">
                  <c:v>-7</c:v>
                </c:pt>
                <c:pt idx="1">
                  <c:v>-12.32</c:v>
                </c:pt>
                <c:pt idx="2">
                  <c:v>-14.32</c:v>
                </c:pt>
                <c:pt idx="3">
                  <c:v>-14.98</c:v>
                </c:pt>
                <c:pt idx="4">
                  <c:v>-14.98</c:v>
                </c:pt>
                <c:pt idx="5">
                  <c:v>-16.96</c:v>
                </c:pt>
                <c:pt idx="6">
                  <c:v>-19.96</c:v>
                </c:pt>
                <c:pt idx="7">
                  <c:v>-19.96</c:v>
                </c:pt>
                <c:pt idx="8">
                  <c:v>-19.96</c:v>
                </c:pt>
                <c:pt idx="9">
                  <c:v>-19.96</c:v>
                </c:pt>
                <c:pt idx="10">
                  <c:v>-22.6</c:v>
                </c:pt>
              </c:numCache>
            </c:numRef>
          </c:val>
          <c:smooth val="0"/>
          <c:extLst>
            <c:ext xmlns:c16="http://schemas.microsoft.com/office/drawing/2014/chart" uri="{C3380CC4-5D6E-409C-BE32-E72D297353CC}">
              <c16:uniqueId val="{00000000-6006-4A41-A7AF-4639EF596893}"/>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560804848"/>
        <c:axId val="1560806768"/>
      </c:lineChart>
      <c:catAx>
        <c:axId val="1560804848"/>
        <c:scaling>
          <c:orientation val="minMax"/>
        </c:scaling>
        <c:delete val="0"/>
        <c:axPos val="b"/>
        <c:majorGridlines>
          <c:spPr>
            <a:ln>
              <a:solidFill>
                <a:schemeClr val="dk1">
                  <a:lumMod val="15000"/>
                  <a:lumOff val="85000"/>
                  <a:alpha val="0"/>
                </a:schemeClr>
              </a:solidFill>
            </a:ln>
          </c:spPr>
        </c:majorGridlines>
        <c:minorGridlines/>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6768"/>
        <c:crosses val="autoZero"/>
        <c:auto val="1"/>
        <c:lblAlgn val="ctr"/>
        <c:lblOffset val="0"/>
        <c:noMultiLvlLbl val="0"/>
      </c:catAx>
      <c:valAx>
        <c:axId val="1560806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484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sl-SI"/>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[Policies_Final_New.xlsx]Western_Balkan_Tables!Western_Balkans_Pivot_01</c:name>
    <c:fmtId val="4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sl-SI"/>
              <a:t>Western Balkans policies by category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sl-SI"/>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sl-SI"/>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sl-SI"/>
            </a:p>
          </c:txPr>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sl-SI"/>
            </a:p>
          </c:txPr>
          <c:showLegendKey val="0"/>
          <c:showVal val="0"/>
          <c:showCatName val="0"/>
          <c:showSerName val="0"/>
          <c:showPercent val="0"/>
          <c:showBubbleSize val="0"/>
          <c:extLst>
            <c:ext xmlns:c15="http://schemas.microsoft.com/office/drawing/2012/chart" uri="{CE6537A1-D6FC-4f65-9D91-7224C49458BB}"/>
          </c:extLst>
        </c:dLbl>
      </c:pivotFmt>
      <c:pivotFmt>
        <c:idx val="14"/>
        <c:spPr>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sl-SI"/>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Western_Balkan_Tables!$B$3:$B$4</c:f>
              <c:strCache>
                <c:ptCount val="1"/>
                <c:pt idx="0">
                  <c:v>Border Control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Western_Balkan_Tables!$A$5:$A$16</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Western_Balkan_Tables!$B$5:$B$16</c:f>
              <c:numCache>
                <c:formatCode>General</c:formatCode>
                <c:ptCount val="11"/>
                <c:pt idx="0">
                  <c:v>10</c:v>
                </c:pt>
                <c:pt idx="1">
                  <c:v>6</c:v>
                </c:pt>
                <c:pt idx="3">
                  <c:v>3</c:v>
                </c:pt>
                <c:pt idx="4">
                  <c:v>1</c:v>
                </c:pt>
                <c:pt idx="7">
                  <c:v>1</c:v>
                </c:pt>
                <c:pt idx="8">
                  <c:v>2</c:v>
                </c:pt>
                <c:pt idx="9">
                  <c:v>5</c:v>
                </c:pt>
              </c:numCache>
            </c:numRef>
          </c:val>
          <c:smooth val="0"/>
          <c:extLst>
            <c:ext xmlns:c16="http://schemas.microsoft.com/office/drawing/2014/chart" uri="{C3380CC4-5D6E-409C-BE32-E72D297353CC}">
              <c16:uniqueId val="{00000000-AAB5-4B74-B035-9EDD8844A69E}"/>
            </c:ext>
          </c:extLst>
        </c:ser>
        <c:ser>
          <c:idx val="1"/>
          <c:order val="1"/>
          <c:tx>
            <c:strRef>
              <c:f>Western_Balkan_Tables!$C$3:$C$4</c:f>
              <c:strCache>
                <c:ptCount val="1"/>
                <c:pt idx="0">
                  <c:v>Crisis Response</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Western_Balkan_Tables!$A$5:$A$16</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Western_Balkan_Tables!$C$5:$C$16</c:f>
              <c:numCache>
                <c:formatCode>General</c:formatCode>
                <c:ptCount val="11"/>
                <c:pt idx="0">
                  <c:v>7</c:v>
                </c:pt>
                <c:pt idx="3">
                  <c:v>1</c:v>
                </c:pt>
                <c:pt idx="4">
                  <c:v>1</c:v>
                </c:pt>
                <c:pt idx="5">
                  <c:v>8</c:v>
                </c:pt>
                <c:pt idx="6">
                  <c:v>1</c:v>
                </c:pt>
                <c:pt idx="7">
                  <c:v>1</c:v>
                </c:pt>
                <c:pt idx="8">
                  <c:v>2</c:v>
                </c:pt>
                <c:pt idx="9">
                  <c:v>3</c:v>
                </c:pt>
                <c:pt idx="10">
                  <c:v>1</c:v>
                </c:pt>
              </c:numCache>
            </c:numRef>
          </c:val>
          <c:smooth val="0"/>
          <c:extLst>
            <c:ext xmlns:c16="http://schemas.microsoft.com/office/drawing/2014/chart" uri="{C3380CC4-5D6E-409C-BE32-E72D297353CC}">
              <c16:uniqueId val="{00000001-AAB5-4B74-B035-9EDD8844A69E}"/>
            </c:ext>
          </c:extLst>
        </c:ser>
        <c:ser>
          <c:idx val="2"/>
          <c:order val="2"/>
          <c:tx>
            <c:strRef>
              <c:f>Western_Balkan_Tables!$D$3:$D$4</c:f>
              <c:strCache>
                <c:ptCount val="1"/>
                <c:pt idx="0">
                  <c:v>International Cooperation</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Western_Balkan_Tables!$A$5:$A$16</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Western_Balkan_Tables!$D$5:$D$16</c:f>
              <c:numCache>
                <c:formatCode>General</c:formatCode>
                <c:ptCount val="11"/>
                <c:pt idx="0">
                  <c:v>6</c:v>
                </c:pt>
                <c:pt idx="1">
                  <c:v>1</c:v>
                </c:pt>
                <c:pt idx="3">
                  <c:v>3</c:v>
                </c:pt>
                <c:pt idx="5">
                  <c:v>1</c:v>
                </c:pt>
                <c:pt idx="6">
                  <c:v>2</c:v>
                </c:pt>
                <c:pt idx="7">
                  <c:v>5</c:v>
                </c:pt>
                <c:pt idx="8">
                  <c:v>9</c:v>
                </c:pt>
                <c:pt idx="9">
                  <c:v>4</c:v>
                </c:pt>
                <c:pt idx="10">
                  <c:v>3</c:v>
                </c:pt>
              </c:numCache>
            </c:numRef>
          </c:val>
          <c:smooth val="0"/>
          <c:extLst>
            <c:ext xmlns:c16="http://schemas.microsoft.com/office/drawing/2014/chart" uri="{C3380CC4-5D6E-409C-BE32-E72D297353CC}">
              <c16:uniqueId val="{00000002-AAB5-4B74-B035-9EDD8844A69E}"/>
            </c:ext>
          </c:extLst>
        </c:ser>
        <c:ser>
          <c:idx val="3"/>
          <c:order val="3"/>
          <c:tx>
            <c:strRef>
              <c:f>Western_Balkan_Tables!$E$3:$E$4</c:f>
              <c:strCache>
                <c:ptCount val="1"/>
                <c:pt idx="0">
                  <c:v>Legislative Framework</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strRef>
              <c:f>Western_Balkan_Tables!$A$5:$A$16</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Western_Balkan_Tables!$E$5:$E$16</c:f>
              <c:numCache>
                <c:formatCode>General</c:formatCode>
                <c:ptCount val="11"/>
                <c:pt idx="0">
                  <c:v>3</c:v>
                </c:pt>
                <c:pt idx="1">
                  <c:v>13</c:v>
                </c:pt>
                <c:pt idx="2">
                  <c:v>4</c:v>
                </c:pt>
                <c:pt idx="3">
                  <c:v>7</c:v>
                </c:pt>
                <c:pt idx="4">
                  <c:v>3</c:v>
                </c:pt>
                <c:pt idx="5">
                  <c:v>4</c:v>
                </c:pt>
                <c:pt idx="6">
                  <c:v>7</c:v>
                </c:pt>
                <c:pt idx="7">
                  <c:v>4</c:v>
                </c:pt>
                <c:pt idx="8">
                  <c:v>9</c:v>
                </c:pt>
                <c:pt idx="9">
                  <c:v>4</c:v>
                </c:pt>
                <c:pt idx="10">
                  <c:v>1</c:v>
                </c:pt>
              </c:numCache>
            </c:numRef>
          </c:val>
          <c:smooth val="0"/>
          <c:extLst>
            <c:ext xmlns:c16="http://schemas.microsoft.com/office/drawing/2014/chart" uri="{C3380CC4-5D6E-409C-BE32-E72D297353CC}">
              <c16:uniqueId val="{00000003-AAB5-4B74-B035-9EDD8844A69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283193887"/>
        <c:axId val="1283192447"/>
      </c:lineChart>
      <c:catAx>
        <c:axId val="1283193887"/>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sl-SI"/>
                  <a:t>year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sl-SI"/>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283192447"/>
        <c:crosses val="autoZero"/>
        <c:auto val="1"/>
        <c:lblAlgn val="ctr"/>
        <c:lblOffset val="100"/>
        <c:noMultiLvlLbl val="0"/>
      </c:catAx>
      <c:valAx>
        <c:axId val="1283192447"/>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sl-SI"/>
                  <a:t>policies identified</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sl-SI"/>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283193887"/>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sl-SI"/>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sl-SI"/>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[Policies_Final_New.xlsx]Western_Balkan_Tables!Western_Balkans_Pivot_02</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sl-SI"/>
              <a:t>Western Balkans total rating</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36000" rIns="38100" bIns="0" anchor="t"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sl-SI"/>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lineChart>
        <c:grouping val="standard"/>
        <c:varyColors val="0"/>
        <c:ser>
          <c:idx val="0"/>
          <c:order val="0"/>
          <c:tx>
            <c:strRef>
              <c:f>Western_Balkan_Tables!$B$30</c:f>
              <c:strCache>
                <c:ptCount val="1"/>
                <c:pt idx="0">
                  <c:v>Total</c:v>
                </c:pt>
              </c:strCache>
            </c:strRef>
          </c:tx>
          <c:marker>
            <c:symbol val="none"/>
          </c:marker>
          <c:dLbls>
            <c:spPr>
              <a:noFill/>
              <a:ln>
                <a:noFill/>
              </a:ln>
              <a:effectLst/>
            </c:spPr>
            <c:txPr>
              <a:bodyPr rot="0" spcFirstLastPara="1" vertOverflow="ellipsis" vert="horz" wrap="square" lIns="38100" tIns="36000" rIns="38100" bIns="0" anchor="t"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sl-SI"/>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dk1">
                          <a:lumMod val="35000"/>
                          <a:lumOff val="65000"/>
                        </a:schemeClr>
                      </a:solidFill>
                    </a:ln>
                    <a:effectLst/>
                  </c:spPr>
                </c15:leaderLines>
              </c:ext>
            </c:extLst>
          </c:dLbls>
          <c:cat>
            <c:strRef>
              <c:f>Western_Balkan_Tables!$A$31:$A$42</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Western_Balkan_Tables!$B$31:$B$42</c:f>
              <c:numCache>
                <c:formatCode>General</c:formatCode>
                <c:ptCount val="11"/>
                <c:pt idx="0">
                  <c:v>3</c:v>
                </c:pt>
                <c:pt idx="1">
                  <c:v>13</c:v>
                </c:pt>
                <c:pt idx="2">
                  <c:v>2</c:v>
                </c:pt>
                <c:pt idx="3">
                  <c:v>17</c:v>
                </c:pt>
                <c:pt idx="4">
                  <c:v>1</c:v>
                </c:pt>
                <c:pt idx="5">
                  <c:v>-7</c:v>
                </c:pt>
                <c:pt idx="6">
                  <c:v>-2</c:v>
                </c:pt>
                <c:pt idx="7">
                  <c:v>21</c:v>
                </c:pt>
                <c:pt idx="8">
                  <c:v>23</c:v>
                </c:pt>
                <c:pt idx="9">
                  <c:v>-5</c:v>
                </c:pt>
                <c:pt idx="10">
                  <c:v>-1</c:v>
                </c:pt>
              </c:numCache>
            </c:numRef>
          </c:val>
          <c:smooth val="0"/>
          <c:extLst>
            <c:ext xmlns:c16="http://schemas.microsoft.com/office/drawing/2014/chart" uri="{C3380CC4-5D6E-409C-BE32-E72D297353CC}">
              <c16:uniqueId val="{00000007-66FD-4B4F-A03B-DF86093F64ED}"/>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560804848"/>
        <c:axId val="1560806768"/>
      </c:lineChart>
      <c:catAx>
        <c:axId val="1560804848"/>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6768"/>
        <c:crosses val="autoZero"/>
        <c:auto val="1"/>
        <c:lblAlgn val="ctr"/>
        <c:lblOffset val="0"/>
        <c:noMultiLvlLbl val="0"/>
      </c:catAx>
      <c:valAx>
        <c:axId val="1560806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484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sl-SI"/>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l-SI" sz="1300" b="1">
                <a:solidFill>
                  <a:sysClr val="windowText" lastClr="000000"/>
                </a:solidFill>
              </a:rPr>
              <a:t>Normalized Index</a:t>
            </a:r>
            <a:r>
              <a:rPr lang="sl-SI" sz="1300" b="1" baseline="0">
                <a:solidFill>
                  <a:sysClr val="windowText" lastClr="000000"/>
                </a:solidFill>
              </a:rPr>
              <a:t> values for Slovenia</a:t>
            </a:r>
            <a:endParaRPr lang="sl-SI" sz="13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l-SI"/>
        </a:p>
      </c:txPr>
    </c:title>
    <c:autoTitleDeleted val="0"/>
    <c:plotArea>
      <c:layout/>
      <c:lineChart>
        <c:grouping val="standard"/>
        <c:varyColors val="0"/>
        <c:ser>
          <c:idx val="1"/>
          <c:order val="0"/>
          <c:tx>
            <c:strRef>
              <c:f>Variables_Graphs!$B$2</c:f>
              <c:strCache>
                <c:ptCount val="1"/>
                <c:pt idx="0">
                  <c:v>HUMAN FREEDOM INDEX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Variables_Graphs!$B$3:$B$13</c:f>
              <c:numCache>
                <c:formatCode>General</c:formatCode>
                <c:ptCount val="11"/>
                <c:pt idx="0">
                  <c:v>8.39</c:v>
                </c:pt>
                <c:pt idx="1">
                  <c:v>8.35</c:v>
                </c:pt>
                <c:pt idx="2">
                  <c:v>8.35</c:v>
                </c:pt>
                <c:pt idx="3">
                  <c:v>8.36</c:v>
                </c:pt>
                <c:pt idx="4">
                  <c:v>8.35</c:v>
                </c:pt>
                <c:pt idx="5">
                  <c:v>7.93</c:v>
                </c:pt>
                <c:pt idx="6">
                  <c:v>7.91</c:v>
                </c:pt>
                <c:pt idx="7">
                  <c:v>8.26</c:v>
                </c:pt>
                <c:pt idx="8">
                  <c:v>7.9</c:v>
                </c:pt>
                <c:pt idx="9">
                  <c:v>8.26</c:v>
                </c:pt>
              </c:numCache>
            </c:numRef>
          </c:val>
          <c:smooth val="0"/>
          <c:extLst>
            <c:ext xmlns:c16="http://schemas.microsoft.com/office/drawing/2014/chart" uri="{C3380CC4-5D6E-409C-BE32-E72D297353CC}">
              <c16:uniqueId val="{00000001-33D6-4F98-973D-5AFE7A47CD3C}"/>
            </c:ext>
          </c:extLst>
        </c:ser>
        <c:ser>
          <c:idx val="2"/>
          <c:order val="1"/>
          <c:tx>
            <c:strRef>
              <c:f>Variables_Graphs!$C$2</c:f>
              <c:strCache>
                <c:ptCount val="1"/>
                <c:pt idx="0">
                  <c:v>CIVIL SOCIETY PARTICIPATION INDEX</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Variables_Graphs!$C$3:$C$13</c:f>
              <c:numCache>
                <c:formatCode>General</c:formatCode>
                <c:ptCount val="11"/>
                <c:pt idx="0">
                  <c:v>8.9</c:v>
                </c:pt>
                <c:pt idx="1">
                  <c:v>9.1</c:v>
                </c:pt>
                <c:pt idx="2" formatCode="0.00">
                  <c:v>8.6</c:v>
                </c:pt>
                <c:pt idx="3">
                  <c:v>8.5</c:v>
                </c:pt>
                <c:pt idx="4">
                  <c:v>8.6999999999999993</c:v>
                </c:pt>
                <c:pt idx="5">
                  <c:v>8.1</c:v>
                </c:pt>
                <c:pt idx="6">
                  <c:v>8</c:v>
                </c:pt>
                <c:pt idx="7">
                  <c:v>8.1999999999999993</c:v>
                </c:pt>
                <c:pt idx="8">
                  <c:v>9.1</c:v>
                </c:pt>
                <c:pt idx="9">
                  <c:v>9.1</c:v>
                </c:pt>
              </c:numCache>
            </c:numRef>
          </c:val>
          <c:smooth val="0"/>
          <c:extLst>
            <c:ext xmlns:c16="http://schemas.microsoft.com/office/drawing/2014/chart" uri="{C3380CC4-5D6E-409C-BE32-E72D297353CC}">
              <c16:uniqueId val="{00000002-33D6-4F98-973D-5AFE7A47CD3C}"/>
            </c:ext>
          </c:extLst>
        </c:ser>
        <c:ser>
          <c:idx val="3"/>
          <c:order val="2"/>
          <c:tx>
            <c:strRef>
              <c:f>Variables_Graphs!$D$2</c:f>
              <c:strCache>
                <c:ptCount val="1"/>
                <c:pt idx="0">
                  <c:v>POLITICAL STABILITY INDEX</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Variables_Graphs!$D$3:$D$13</c:f>
              <c:numCache>
                <c:formatCode>General</c:formatCode>
                <c:ptCount val="11"/>
                <c:pt idx="0">
                  <c:v>3.8</c:v>
                </c:pt>
                <c:pt idx="1">
                  <c:v>3.92</c:v>
                </c:pt>
                <c:pt idx="2">
                  <c:v>3.4799999999999995</c:v>
                </c:pt>
                <c:pt idx="3">
                  <c:v>3.5599999999999996</c:v>
                </c:pt>
                <c:pt idx="4">
                  <c:v>3.2</c:v>
                </c:pt>
                <c:pt idx="5">
                  <c:v>2.8</c:v>
                </c:pt>
                <c:pt idx="6">
                  <c:v>3.04</c:v>
                </c:pt>
                <c:pt idx="7">
                  <c:v>2.84</c:v>
                </c:pt>
                <c:pt idx="8">
                  <c:v>3.2799999999999994</c:v>
                </c:pt>
              </c:numCache>
            </c:numRef>
          </c:val>
          <c:smooth val="0"/>
          <c:extLst>
            <c:ext xmlns:c16="http://schemas.microsoft.com/office/drawing/2014/chart" uri="{C3380CC4-5D6E-409C-BE32-E72D297353CC}">
              <c16:uniqueId val="{00000003-33D6-4F98-973D-5AFE7A47CD3C}"/>
            </c:ext>
          </c:extLst>
        </c:ser>
        <c:ser>
          <c:idx val="4"/>
          <c:order val="3"/>
          <c:tx>
            <c:strRef>
              <c:f>Variables_Graphs!$E$2</c:f>
              <c:strCache>
                <c:ptCount val="1"/>
                <c:pt idx="0">
                  <c:v>ACADEMIC FREEDOM INDEX</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Variables_Graphs!$E$3:$E$13</c:f>
              <c:numCache>
                <c:formatCode>General</c:formatCode>
                <c:ptCount val="11"/>
                <c:pt idx="0">
                  <c:v>9.5</c:v>
                </c:pt>
                <c:pt idx="1">
                  <c:v>9.5</c:v>
                </c:pt>
                <c:pt idx="2">
                  <c:v>9.5</c:v>
                </c:pt>
                <c:pt idx="3">
                  <c:v>9.5</c:v>
                </c:pt>
                <c:pt idx="4">
                  <c:v>9.5</c:v>
                </c:pt>
                <c:pt idx="5">
                  <c:v>9.1</c:v>
                </c:pt>
                <c:pt idx="6">
                  <c:v>8.8000000000000007</c:v>
                </c:pt>
                <c:pt idx="7">
                  <c:v>9.3000000000000007</c:v>
                </c:pt>
                <c:pt idx="8">
                  <c:v>9.4</c:v>
                </c:pt>
                <c:pt idx="9">
                  <c:v>9.3000000000000007</c:v>
                </c:pt>
              </c:numCache>
            </c:numRef>
          </c:val>
          <c:smooth val="0"/>
          <c:extLst>
            <c:ext xmlns:c16="http://schemas.microsoft.com/office/drawing/2014/chart" uri="{C3380CC4-5D6E-409C-BE32-E72D297353CC}">
              <c16:uniqueId val="{00000004-33D6-4F98-973D-5AFE7A47CD3C}"/>
            </c:ext>
          </c:extLst>
        </c:ser>
        <c:ser>
          <c:idx val="5"/>
          <c:order val="4"/>
          <c:tx>
            <c:strRef>
              <c:f>Variables_Graphs!$F$2</c:f>
              <c:strCache>
                <c:ptCount val="1"/>
                <c:pt idx="0">
                  <c:v>ECONOMIC FREEDOM INDEX</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Variables_Graphs!$F$3:$F$13</c:f>
              <c:numCache>
                <c:formatCode>General</c:formatCode>
                <c:ptCount val="11"/>
                <c:pt idx="0">
                  <c:v>6.03</c:v>
                </c:pt>
                <c:pt idx="1">
                  <c:v>6.06</c:v>
                </c:pt>
                <c:pt idx="2">
                  <c:v>5.92</c:v>
                </c:pt>
                <c:pt idx="3">
                  <c:v>6.48</c:v>
                </c:pt>
                <c:pt idx="4">
                  <c:v>6.55</c:v>
                </c:pt>
                <c:pt idx="5">
                  <c:v>6.78</c:v>
                </c:pt>
                <c:pt idx="6">
                  <c:v>6.83</c:v>
                </c:pt>
                <c:pt idx="7">
                  <c:v>7.05</c:v>
                </c:pt>
                <c:pt idx="8">
                  <c:v>6.85</c:v>
                </c:pt>
                <c:pt idx="9">
                  <c:v>6.59</c:v>
                </c:pt>
                <c:pt idx="10">
                  <c:v>6.83</c:v>
                </c:pt>
              </c:numCache>
            </c:numRef>
          </c:val>
          <c:smooth val="0"/>
          <c:extLst>
            <c:ext xmlns:c16="http://schemas.microsoft.com/office/drawing/2014/chart" uri="{C3380CC4-5D6E-409C-BE32-E72D297353CC}">
              <c16:uniqueId val="{00000005-33D6-4F98-973D-5AFE7A47CD3C}"/>
            </c:ext>
          </c:extLst>
        </c:ser>
        <c:ser>
          <c:idx val="8"/>
          <c:order val="7"/>
          <c:tx>
            <c:strRef>
              <c:f>Variables_Graphs!$I$2</c:f>
              <c:strCache>
                <c:ptCount val="1"/>
                <c:pt idx="0">
                  <c:v>LIBERAL DEMOCRACY INDEX</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Variables_Graphs!$I$3:$I$13</c:f>
              <c:numCache>
                <c:formatCode>General</c:formatCode>
                <c:ptCount val="11"/>
                <c:pt idx="0">
                  <c:v>8.08</c:v>
                </c:pt>
                <c:pt idx="1">
                  <c:v>7.9600000000000009</c:v>
                </c:pt>
                <c:pt idx="2">
                  <c:v>7.73</c:v>
                </c:pt>
                <c:pt idx="3">
                  <c:v>7.58</c:v>
                </c:pt>
                <c:pt idx="4">
                  <c:v>7.4399999999999995</c:v>
                </c:pt>
                <c:pt idx="5">
                  <c:v>6.6800000000000006</c:v>
                </c:pt>
                <c:pt idx="6">
                  <c:v>6.24</c:v>
                </c:pt>
                <c:pt idx="7">
                  <c:v>7.3</c:v>
                </c:pt>
                <c:pt idx="8">
                  <c:v>6.5500000000000007</c:v>
                </c:pt>
                <c:pt idx="9">
                  <c:v>6.1899999999999995</c:v>
                </c:pt>
              </c:numCache>
            </c:numRef>
          </c:val>
          <c:smooth val="0"/>
          <c:extLst>
            <c:ext xmlns:c16="http://schemas.microsoft.com/office/drawing/2014/chart" uri="{C3380CC4-5D6E-409C-BE32-E72D297353CC}">
              <c16:uniqueId val="{00000008-33D6-4F98-973D-5AFE7A47CD3C}"/>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618699631"/>
        <c:axId val="618700111"/>
        <c:extLst>
          <c:ext xmlns:c15="http://schemas.microsoft.com/office/drawing/2012/chart" uri="{02D57815-91ED-43cb-92C2-25804820EDAC}">
            <c15:filteredLineSeries>
              <c15:ser>
                <c:idx val="6"/>
                <c:order val="5"/>
                <c:tx>
                  <c:strRef>
                    <c:extLst>
                      <c:ext uri="{02D57815-91ED-43cb-92C2-25804820EDAC}">
                        <c15:formulaRef>
                          <c15:sqref>Variables_Graphs!$G$2</c15:sqref>
                        </c15:formulaRef>
                      </c:ext>
                    </c:extLst>
                    <c:strCache>
                      <c:ptCount val="1"/>
                      <c:pt idx="0">
                        <c:v>DEMOCRACY INDEX</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extLst>
                      <c:ext uri="{02D57815-91ED-43cb-92C2-25804820EDAC}">
                        <c15:formulaRef>
                          <c15:sqref>Variables_Graphs!$A$3:$A$13</c15:sqref>
                        </c15:formulaRef>
                      </c:ext>
                    </c:extLst>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extLst>
                      <c:ext uri="{02D57815-91ED-43cb-92C2-25804820EDAC}">
                        <c15:formulaRef>
                          <c15:sqref>Variables_Graphs!$G$3:$G$13</c15:sqref>
                        </c15:formulaRef>
                      </c:ext>
                    </c:extLst>
                    <c:numCache>
                      <c:formatCode>General</c:formatCode>
                      <c:ptCount val="11"/>
                      <c:pt idx="0">
                        <c:v>7.57</c:v>
                      </c:pt>
                      <c:pt idx="1">
                        <c:v>7.51</c:v>
                      </c:pt>
                      <c:pt idx="2">
                        <c:v>7.5</c:v>
                      </c:pt>
                      <c:pt idx="3">
                        <c:v>7.5</c:v>
                      </c:pt>
                      <c:pt idx="4">
                        <c:v>7.5</c:v>
                      </c:pt>
                      <c:pt idx="5">
                        <c:v>7.54</c:v>
                      </c:pt>
                      <c:pt idx="6">
                        <c:v>7.54</c:v>
                      </c:pt>
                      <c:pt idx="7">
                        <c:v>7.75</c:v>
                      </c:pt>
                      <c:pt idx="8">
                        <c:v>7.75</c:v>
                      </c:pt>
                      <c:pt idx="9">
                        <c:v>7.82</c:v>
                      </c:pt>
                    </c:numCache>
                  </c:numRef>
                </c:val>
                <c:smooth val="0"/>
                <c:extLst>
                  <c:ext xmlns:c16="http://schemas.microsoft.com/office/drawing/2014/chart" uri="{C3380CC4-5D6E-409C-BE32-E72D297353CC}">
                    <c16:uniqueId val="{00000006-33D6-4F98-973D-5AFE7A47CD3C}"/>
                  </c:ext>
                </c:extLst>
              </c15:ser>
            </c15:filteredLineSeries>
            <c15:filteredLineSeries>
              <c15:ser>
                <c:idx val="7"/>
                <c:order val="6"/>
                <c:tx>
                  <c:strRef>
                    <c:extLst>
                      <c:ext xmlns:c15="http://schemas.microsoft.com/office/drawing/2012/chart" uri="{02D57815-91ED-43cb-92C2-25804820EDAC}">
                        <c15:formulaRef>
                          <c15:sqref>Variables_Graphs!$H$2</c15:sqref>
                        </c15:formulaRef>
                      </c:ext>
                    </c:extLst>
                    <c:strCache>
                      <c:ptCount val="1"/>
                      <c:pt idx="0">
                        <c:v>ELECTORAL DEMOCRACY INDEX</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numRef>
                    <c:extLst>
                      <c:ext xmlns:c15="http://schemas.microsoft.com/office/drawing/2012/chart" uri="{02D57815-91ED-43cb-92C2-25804820EDAC}">
                        <c15:formulaRef>
                          <c15:sqref>Variables_Graphs!$A$3:$A$13</c15:sqref>
                        </c15:formulaRef>
                      </c:ext>
                    </c:extLst>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extLst>
                      <c:ext xmlns:c15="http://schemas.microsoft.com/office/drawing/2012/chart" uri="{02D57815-91ED-43cb-92C2-25804820EDAC}">
                        <c15:formulaRef>
                          <c15:sqref>Variables_Graphs!$H$3:$H$13</c15:sqref>
                        </c15:formulaRef>
                      </c:ext>
                    </c:extLst>
                    <c:numCache>
                      <c:formatCode>General</c:formatCode>
                      <c:ptCount val="11"/>
                      <c:pt idx="0">
                        <c:v>8.76</c:v>
                      </c:pt>
                      <c:pt idx="1">
                        <c:v>8.629999999999999</c:v>
                      </c:pt>
                      <c:pt idx="2">
                        <c:v>8.41</c:v>
                      </c:pt>
                      <c:pt idx="3">
                        <c:v>8.2899999999999991</c:v>
                      </c:pt>
                      <c:pt idx="4">
                        <c:v>8.120000000000001</c:v>
                      </c:pt>
                      <c:pt idx="5">
                        <c:v>7.54</c:v>
                      </c:pt>
                      <c:pt idx="6">
                        <c:v>7.16</c:v>
                      </c:pt>
                      <c:pt idx="7">
                        <c:v>8.120000000000001</c:v>
                      </c:pt>
                      <c:pt idx="8">
                        <c:v>7.57</c:v>
                      </c:pt>
                      <c:pt idx="9">
                        <c:v>7.16</c:v>
                      </c:pt>
                    </c:numCache>
                  </c:numRef>
                </c:val>
                <c:smooth val="0"/>
                <c:extLst xmlns:c15="http://schemas.microsoft.com/office/drawing/2012/chart">
                  <c:ext xmlns:c16="http://schemas.microsoft.com/office/drawing/2014/chart" uri="{C3380CC4-5D6E-409C-BE32-E72D297353CC}">
                    <c16:uniqueId val="{00000007-33D6-4F98-973D-5AFE7A47CD3C}"/>
                  </c:ext>
                </c:extLst>
              </c15:ser>
            </c15:filteredLineSeries>
            <c15:filteredLineSeries>
              <c15:ser>
                <c:idx val="9"/>
                <c:order val="8"/>
                <c:tx>
                  <c:strRef>
                    <c:extLst>
                      <c:ext xmlns:c15="http://schemas.microsoft.com/office/drawing/2012/chart" uri="{02D57815-91ED-43cb-92C2-25804820EDAC}">
                        <c15:formulaRef>
                          <c15:sqref>Variables_Graphs!$J$2</c15:sqref>
                        </c15:formulaRef>
                      </c:ext>
                    </c:extLst>
                    <c:strCache>
                      <c:ptCount val="1"/>
                      <c:pt idx="0">
                        <c:v>RSF PRESS FREEDOM INDEX</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numRef>
                    <c:extLst>
                      <c:ext xmlns:c15="http://schemas.microsoft.com/office/drawing/2012/chart" uri="{02D57815-91ED-43cb-92C2-25804820EDAC}">
                        <c15:formulaRef>
                          <c15:sqref>Variables_Graphs!$A$3:$A$13</c15:sqref>
                        </c15:formulaRef>
                      </c:ext>
                    </c:extLst>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extLst>
                      <c:ext xmlns:c15="http://schemas.microsoft.com/office/drawing/2012/chart" uri="{02D57815-91ED-43cb-92C2-25804820EDAC}">
                        <c15:formulaRef>
                          <c15:sqref>Variables_Graphs!$J$3:$J$13</c15:sqref>
                        </c15:formulaRef>
                      </c:ext>
                    </c:extLst>
                    <c:numCache>
                      <c:formatCode>General</c:formatCode>
                      <c:ptCount val="11"/>
                      <c:pt idx="0">
                        <c:v>7.9450000000000003</c:v>
                      </c:pt>
                      <c:pt idx="1">
                        <c:v>7.7739999999999991</c:v>
                      </c:pt>
                      <c:pt idx="2">
                        <c:v>7.83</c:v>
                      </c:pt>
                      <c:pt idx="3">
                        <c:v>7.8310000000000004</c:v>
                      </c:pt>
                      <c:pt idx="4">
                        <c:v>7.7690000000000001</c:v>
                      </c:pt>
                      <c:pt idx="5">
                        <c:v>7.7359999999999998</c:v>
                      </c:pt>
                      <c:pt idx="6">
                        <c:v>7.69</c:v>
                      </c:pt>
                      <c:pt idx="7">
                        <c:v>6.854000000000001</c:v>
                      </c:pt>
                      <c:pt idx="8">
                        <c:v>7.0590000000000002</c:v>
                      </c:pt>
                      <c:pt idx="9">
                        <c:v>7.26</c:v>
                      </c:pt>
                      <c:pt idx="10">
                        <c:v>7.4060000000000006</c:v>
                      </c:pt>
                    </c:numCache>
                  </c:numRef>
                </c:val>
                <c:smooth val="0"/>
                <c:extLst xmlns:c15="http://schemas.microsoft.com/office/drawing/2012/chart">
                  <c:ext xmlns:c16="http://schemas.microsoft.com/office/drawing/2014/chart" uri="{C3380CC4-5D6E-409C-BE32-E72D297353CC}">
                    <c16:uniqueId val="{00000009-33D6-4F98-973D-5AFE7A47CD3C}"/>
                  </c:ext>
                </c:extLst>
              </c15:ser>
            </c15:filteredLineSeries>
          </c:ext>
        </c:extLst>
      </c:lineChart>
      <c:catAx>
        <c:axId val="618699631"/>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crossAx val="618700111"/>
        <c:crosses val="autoZero"/>
        <c:auto val="1"/>
        <c:lblAlgn val="ctr"/>
        <c:lblOffset val="100"/>
        <c:noMultiLvlLbl val="0"/>
      </c:catAx>
      <c:valAx>
        <c:axId val="61870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crossAx val="618699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l-SI"/>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sl-SI" sz="1300" b="1">
                <a:solidFill>
                  <a:sysClr val="windowText" lastClr="000000"/>
                </a:solidFill>
              </a:rPr>
              <a:t>Slovenia</a:t>
            </a:r>
            <a:r>
              <a:rPr lang="sl-SI" sz="1300" b="1" baseline="0">
                <a:solidFill>
                  <a:sysClr val="windowText" lastClr="000000"/>
                </a:solidFill>
              </a:rPr>
              <a:t> </a:t>
            </a:r>
            <a:r>
              <a:rPr lang="sl-SI" sz="1300" b="1">
                <a:solidFill>
                  <a:sysClr val="windowText" lastClr="000000"/>
                </a:solidFill>
              </a:rPr>
              <a:t>policy rating</a:t>
            </a:r>
            <a:endParaRPr lang="en-US" sz="1300" b="1">
              <a:solidFill>
                <a:sysClr val="windowText" lastClr="000000"/>
              </a:solidFill>
            </a:endParaRPr>
          </a:p>
        </c:rich>
      </c:tx>
      <c:overlay val="0"/>
      <c:spPr>
        <a:noFill/>
        <a:ln>
          <a:noFill/>
        </a:ln>
        <a:effectLst/>
      </c:spPr>
    </c:title>
    <c:autoTitleDeleted val="0"/>
    <c:plotArea>
      <c:layout/>
      <c:lineChart>
        <c:grouping val="standard"/>
        <c:varyColors val="0"/>
        <c:ser>
          <c:idx val="0"/>
          <c:order val="0"/>
          <c:tx>
            <c:strRef>
              <c:f>Slovenia_Rating!$C$1</c:f>
              <c:strCache>
                <c:ptCount val="1"/>
                <c:pt idx="0">
                  <c:v>Rating Value</c:v>
                </c:pt>
              </c:strCache>
            </c:strRef>
          </c:tx>
          <c:spPr>
            <a:ln w="22225" cap="rnd" cmpd="sng" algn="ctr">
              <a:solidFill>
                <a:schemeClr val="dk1">
                  <a:tint val="88500"/>
                </a:schemeClr>
              </a:solidFill>
              <a:round/>
            </a:ln>
            <a:effectLst/>
          </c:spPr>
          <c:marker>
            <c:symbol val="none"/>
          </c:marker>
          <c:dLbls>
            <c:spPr>
              <a:gradFill>
                <a:gsLst>
                  <a:gs pos="100000">
                    <a:schemeClr val="lt1">
                      <a:lumMod val="95000"/>
                    </a:schemeClr>
                  </a:gs>
                  <a:gs pos="0">
                    <a:schemeClr val="lt1"/>
                  </a:gs>
                </a:gsLst>
                <a:lin ang="5400000" scaled="0"/>
              </a:gradFill>
              <a:ln>
                <a:noFill/>
              </a:ln>
              <a:effectLst/>
            </c:spPr>
            <c:txPr>
              <a:bodyPr rot="0" spcFirstLastPara="1" vertOverflow="ellipsis" vert="horz" wrap="square" lIns="0" tIns="0" rIns="0" bIns="0" anchor="t"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sl-SI"/>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dk1">
                          <a:lumMod val="35000"/>
                          <a:lumOff val="65000"/>
                        </a:schemeClr>
                      </a:solidFill>
                    </a:ln>
                    <a:effectLst/>
                  </c:spPr>
                </c15:leaderLines>
              </c:ext>
            </c:extLst>
          </c:dLbls>
          <c:cat>
            <c:numRef>
              <c:f>Slovenia_Rating!$A$2:$A$12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Slovenia_Rating!$C$2:$C$12</c:f>
              <c:numCache>
                <c:formatCode>General</c:formatCode>
                <c:ptCount val="11"/>
                <c:pt idx="0">
                  <c:v>-2</c:v>
                </c:pt>
                <c:pt idx="1">
                  <c:v>-3</c:v>
                </c:pt>
                <c:pt idx="2">
                  <c:v>-3.02</c:v>
                </c:pt>
                <c:pt idx="3">
                  <c:v>0.94</c:v>
                </c:pt>
                <c:pt idx="4">
                  <c:v>0.28000000000000003</c:v>
                </c:pt>
                <c:pt idx="5">
                  <c:v>-0.72</c:v>
                </c:pt>
                <c:pt idx="6">
                  <c:v>-4.04</c:v>
                </c:pt>
                <c:pt idx="7">
                  <c:v>3.5900000000000007</c:v>
                </c:pt>
                <c:pt idx="8">
                  <c:v>6.8900000000000015</c:v>
                </c:pt>
                <c:pt idx="9">
                  <c:v>0.62000000000000188</c:v>
                </c:pt>
                <c:pt idx="10">
                  <c:v>2.6200000000000019</c:v>
                </c:pt>
              </c:numCache>
            </c:numRef>
          </c:val>
          <c:smooth val="0"/>
          <c:extLst>
            <c:ext xmlns:c16="http://schemas.microsoft.com/office/drawing/2014/chart" uri="{C3380CC4-5D6E-409C-BE32-E72D297353CC}">
              <c16:uniqueId val="{00000000-C39E-4762-AC12-8E95F6146DBE}"/>
            </c:ext>
          </c:extLst>
        </c:ser>
        <c:dLbls>
          <c:dLblPos val="t"/>
          <c:showLegendKey val="0"/>
          <c:showVal val="1"/>
          <c:showCatName val="0"/>
          <c:showSerName val="0"/>
          <c:showPercent val="0"/>
          <c:showBubbleSize val="0"/>
        </c:dLbls>
        <c:smooth val="0"/>
        <c:axId val="1560804848"/>
        <c:axId val="1560806768"/>
      </c:lineChart>
      <c:catAx>
        <c:axId val="1560804848"/>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6768"/>
        <c:crosses val="autoZero"/>
        <c:auto val="1"/>
        <c:lblAlgn val="ctr"/>
        <c:lblOffset val="0"/>
        <c:noMultiLvlLbl val="0"/>
      </c:catAx>
      <c:valAx>
        <c:axId val="1560806768"/>
        <c:scaling>
          <c:orientation val="minMax"/>
          <c:min val="-5"/>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484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sl-SI"/>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l-SI" sz="1300" b="1">
                <a:solidFill>
                  <a:sysClr val="windowText" lastClr="000000"/>
                </a:solidFill>
              </a:rPr>
              <a:t>Normalized Index</a:t>
            </a:r>
            <a:r>
              <a:rPr lang="sl-SI" sz="1300" b="1" baseline="0">
                <a:solidFill>
                  <a:sysClr val="windowText" lastClr="000000"/>
                </a:solidFill>
              </a:rPr>
              <a:t> values for Croatia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l-SI"/>
        </a:p>
      </c:txPr>
    </c:title>
    <c:autoTitleDeleted val="0"/>
    <c:plotArea>
      <c:layout/>
      <c:lineChart>
        <c:grouping val="standard"/>
        <c:varyColors val="0"/>
        <c:ser>
          <c:idx val="1"/>
          <c:order val="0"/>
          <c:tx>
            <c:strRef>
              <c:f>Variables_Graphs!$B$2</c:f>
              <c:strCache>
                <c:ptCount val="1"/>
                <c:pt idx="0">
                  <c:v>HUMAN FREEDOM INDEX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Variables_Graphs!$B$17:$B$27</c:f>
              <c:numCache>
                <c:formatCode>General</c:formatCode>
                <c:ptCount val="11"/>
                <c:pt idx="0">
                  <c:v>8.19</c:v>
                </c:pt>
                <c:pt idx="1">
                  <c:v>8.14</c:v>
                </c:pt>
                <c:pt idx="2">
                  <c:v>8.17</c:v>
                </c:pt>
                <c:pt idx="3">
                  <c:v>8.15</c:v>
                </c:pt>
                <c:pt idx="4">
                  <c:v>8.1</c:v>
                </c:pt>
                <c:pt idx="5">
                  <c:v>7.83</c:v>
                </c:pt>
                <c:pt idx="6">
                  <c:v>7.91</c:v>
                </c:pt>
                <c:pt idx="7">
                  <c:v>8</c:v>
                </c:pt>
                <c:pt idx="8">
                  <c:v>7.96</c:v>
                </c:pt>
                <c:pt idx="9">
                  <c:v>8</c:v>
                </c:pt>
              </c:numCache>
            </c:numRef>
          </c:val>
          <c:smooth val="0"/>
          <c:extLst>
            <c:ext xmlns:c16="http://schemas.microsoft.com/office/drawing/2014/chart" uri="{C3380CC4-5D6E-409C-BE32-E72D297353CC}">
              <c16:uniqueId val="{00000000-F512-47AD-BD0F-2588B1A5B0B1}"/>
            </c:ext>
          </c:extLst>
        </c:ser>
        <c:ser>
          <c:idx val="2"/>
          <c:order val="1"/>
          <c:tx>
            <c:strRef>
              <c:f>Variables_Graphs!$C$2</c:f>
              <c:strCache>
                <c:ptCount val="1"/>
                <c:pt idx="0">
                  <c:v>CIVIL SOCIETY PARTICIPATION INDEX</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Variables_Graphs!$C$17:$C$27</c:f>
              <c:numCache>
                <c:formatCode>General</c:formatCode>
                <c:ptCount val="11"/>
                <c:pt idx="0">
                  <c:v>8</c:v>
                </c:pt>
                <c:pt idx="1">
                  <c:v>7.1</c:v>
                </c:pt>
                <c:pt idx="2">
                  <c:v>7.4</c:v>
                </c:pt>
                <c:pt idx="3">
                  <c:v>7.4</c:v>
                </c:pt>
                <c:pt idx="4">
                  <c:v>7.4</c:v>
                </c:pt>
                <c:pt idx="5">
                  <c:v>7.1</c:v>
                </c:pt>
                <c:pt idx="6">
                  <c:v>7</c:v>
                </c:pt>
                <c:pt idx="7">
                  <c:v>7.1</c:v>
                </c:pt>
                <c:pt idx="8">
                  <c:v>7.1</c:v>
                </c:pt>
                <c:pt idx="9">
                  <c:v>7.1</c:v>
                </c:pt>
              </c:numCache>
            </c:numRef>
          </c:val>
          <c:smooth val="0"/>
          <c:extLst>
            <c:ext xmlns:c16="http://schemas.microsoft.com/office/drawing/2014/chart" uri="{C3380CC4-5D6E-409C-BE32-E72D297353CC}">
              <c16:uniqueId val="{00000001-F512-47AD-BD0F-2588B1A5B0B1}"/>
            </c:ext>
          </c:extLst>
        </c:ser>
        <c:ser>
          <c:idx val="3"/>
          <c:order val="2"/>
          <c:tx>
            <c:strRef>
              <c:f>Variables_Graphs!$D$2</c:f>
              <c:strCache>
                <c:ptCount val="1"/>
                <c:pt idx="0">
                  <c:v>POLITICAL STABILITY INDEX</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Variables_Graphs!$D$17:$D$27</c:f>
              <c:numCache>
                <c:formatCode>General</c:formatCode>
                <c:ptCount val="11"/>
                <c:pt idx="0">
                  <c:v>2.36</c:v>
                </c:pt>
                <c:pt idx="1">
                  <c:v>2.6</c:v>
                </c:pt>
                <c:pt idx="2">
                  <c:v>2.72</c:v>
                </c:pt>
                <c:pt idx="3">
                  <c:v>3.16</c:v>
                </c:pt>
                <c:pt idx="4">
                  <c:v>2.76</c:v>
                </c:pt>
                <c:pt idx="5">
                  <c:v>2.44</c:v>
                </c:pt>
                <c:pt idx="6">
                  <c:v>2.48</c:v>
                </c:pt>
                <c:pt idx="7">
                  <c:v>2.68</c:v>
                </c:pt>
                <c:pt idx="8">
                  <c:v>2.4</c:v>
                </c:pt>
              </c:numCache>
            </c:numRef>
          </c:val>
          <c:smooth val="0"/>
          <c:extLst>
            <c:ext xmlns:c16="http://schemas.microsoft.com/office/drawing/2014/chart" uri="{C3380CC4-5D6E-409C-BE32-E72D297353CC}">
              <c16:uniqueId val="{00000002-F512-47AD-BD0F-2588B1A5B0B1}"/>
            </c:ext>
          </c:extLst>
        </c:ser>
        <c:ser>
          <c:idx val="4"/>
          <c:order val="3"/>
          <c:tx>
            <c:strRef>
              <c:f>Variables_Graphs!$E$2</c:f>
              <c:strCache>
                <c:ptCount val="1"/>
                <c:pt idx="0">
                  <c:v>ACADEMIC FREEDOM INDEX</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Variables_Graphs!$E$17:$E$27</c:f>
              <c:numCache>
                <c:formatCode>General</c:formatCode>
                <c:ptCount val="11"/>
                <c:pt idx="0">
                  <c:v>8.6</c:v>
                </c:pt>
                <c:pt idx="1">
                  <c:v>8.6</c:v>
                </c:pt>
                <c:pt idx="2">
                  <c:v>8.5</c:v>
                </c:pt>
                <c:pt idx="3">
                  <c:v>8.5</c:v>
                </c:pt>
                <c:pt idx="4">
                  <c:v>8.5</c:v>
                </c:pt>
                <c:pt idx="5">
                  <c:v>8.8000000000000007</c:v>
                </c:pt>
                <c:pt idx="6">
                  <c:v>8.6999999999999993</c:v>
                </c:pt>
                <c:pt idx="7">
                  <c:v>8.5</c:v>
                </c:pt>
                <c:pt idx="8">
                  <c:v>8</c:v>
                </c:pt>
                <c:pt idx="9">
                  <c:v>8.1999999999999993</c:v>
                </c:pt>
              </c:numCache>
            </c:numRef>
          </c:val>
          <c:smooth val="0"/>
          <c:extLst>
            <c:ext xmlns:c16="http://schemas.microsoft.com/office/drawing/2014/chart" uri="{C3380CC4-5D6E-409C-BE32-E72D297353CC}">
              <c16:uniqueId val="{00000003-F512-47AD-BD0F-2588B1A5B0B1}"/>
            </c:ext>
          </c:extLst>
        </c:ser>
        <c:ser>
          <c:idx val="5"/>
          <c:order val="4"/>
          <c:tx>
            <c:strRef>
              <c:f>Variables_Graphs!$F$2</c:f>
              <c:strCache>
                <c:ptCount val="1"/>
                <c:pt idx="0">
                  <c:v>ECONOMIC FREEDOM INDEX</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Variables_Graphs!$F$17:$F$27</c:f>
              <c:numCache>
                <c:formatCode>General</c:formatCode>
                <c:ptCount val="11"/>
                <c:pt idx="0">
                  <c:v>6.15</c:v>
                </c:pt>
                <c:pt idx="1">
                  <c:v>5.91</c:v>
                </c:pt>
                <c:pt idx="2">
                  <c:v>5.9399999999999995</c:v>
                </c:pt>
                <c:pt idx="3">
                  <c:v>6.1</c:v>
                </c:pt>
                <c:pt idx="4">
                  <c:v>6.14</c:v>
                </c:pt>
                <c:pt idx="5">
                  <c:v>6.2200000000000006</c:v>
                </c:pt>
                <c:pt idx="6">
                  <c:v>6.36</c:v>
                </c:pt>
                <c:pt idx="7">
                  <c:v>6.76</c:v>
                </c:pt>
                <c:pt idx="8">
                  <c:v>6.6400000000000006</c:v>
                </c:pt>
                <c:pt idx="9">
                  <c:v>6.7200000000000006</c:v>
                </c:pt>
                <c:pt idx="10">
                  <c:v>6.87</c:v>
                </c:pt>
              </c:numCache>
            </c:numRef>
          </c:val>
          <c:smooth val="0"/>
          <c:extLst>
            <c:ext xmlns:c16="http://schemas.microsoft.com/office/drawing/2014/chart" uri="{C3380CC4-5D6E-409C-BE32-E72D297353CC}">
              <c16:uniqueId val="{00000004-F512-47AD-BD0F-2588B1A5B0B1}"/>
            </c:ext>
          </c:extLst>
        </c:ser>
        <c:ser>
          <c:idx val="8"/>
          <c:order val="5"/>
          <c:tx>
            <c:strRef>
              <c:f>Variables_Graphs!$I$2</c:f>
              <c:strCache>
                <c:ptCount val="1"/>
                <c:pt idx="0">
                  <c:v>LIBERAL DEMOCRACY INDEX</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Variables_Graphs!$I$17:$I$27</c:f>
              <c:numCache>
                <c:formatCode>General</c:formatCode>
                <c:ptCount val="11"/>
                <c:pt idx="0">
                  <c:v>7.01</c:v>
                </c:pt>
                <c:pt idx="1">
                  <c:v>6.53</c:v>
                </c:pt>
                <c:pt idx="2">
                  <c:v>6.25</c:v>
                </c:pt>
                <c:pt idx="3">
                  <c:v>6.17</c:v>
                </c:pt>
                <c:pt idx="4">
                  <c:v>6.24</c:v>
                </c:pt>
                <c:pt idx="5">
                  <c:v>6.6000000000000005</c:v>
                </c:pt>
                <c:pt idx="6">
                  <c:v>6.5200000000000005</c:v>
                </c:pt>
                <c:pt idx="7">
                  <c:v>6.51</c:v>
                </c:pt>
                <c:pt idx="8">
                  <c:v>6.46</c:v>
                </c:pt>
                <c:pt idx="9">
                  <c:v>6.1899999999999995</c:v>
                </c:pt>
              </c:numCache>
            </c:numRef>
          </c:val>
          <c:smooth val="0"/>
          <c:extLst>
            <c:ext xmlns:c16="http://schemas.microsoft.com/office/drawing/2014/chart" uri="{C3380CC4-5D6E-409C-BE32-E72D297353CC}">
              <c16:uniqueId val="{00000005-F512-47AD-BD0F-2588B1A5B0B1}"/>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618699631"/>
        <c:axId val="618700111"/>
        <c:extLst/>
      </c:lineChart>
      <c:catAx>
        <c:axId val="618699631"/>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crossAx val="618700111"/>
        <c:crosses val="autoZero"/>
        <c:auto val="1"/>
        <c:lblAlgn val="ctr"/>
        <c:lblOffset val="100"/>
        <c:noMultiLvlLbl val="0"/>
      </c:catAx>
      <c:valAx>
        <c:axId val="61870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crossAx val="618699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l-SI"/>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sl-SI" sz="1300" b="1">
                <a:solidFill>
                  <a:sysClr val="windowText" lastClr="000000"/>
                </a:solidFill>
              </a:rPr>
              <a:t>Croatia policy rating</a:t>
            </a:r>
            <a:endParaRPr lang="en-US" sz="1300" b="1">
              <a:solidFill>
                <a:sysClr val="windowText" lastClr="000000"/>
              </a:solidFill>
            </a:endParaRPr>
          </a:p>
        </c:rich>
      </c:tx>
      <c:overlay val="0"/>
      <c:spPr>
        <a:noFill/>
        <a:ln>
          <a:noFill/>
        </a:ln>
        <a:effectLst/>
      </c:spPr>
    </c:title>
    <c:autoTitleDeleted val="0"/>
    <c:plotArea>
      <c:layout/>
      <c:lineChart>
        <c:grouping val="standard"/>
        <c:varyColors val="0"/>
        <c:ser>
          <c:idx val="0"/>
          <c:order val="0"/>
          <c:tx>
            <c:strRef>
              <c:f>'Croatia_Rating'!$C$1</c:f>
              <c:strCache>
                <c:ptCount val="1"/>
                <c:pt idx="0">
                  <c:v>Rating Value</c:v>
                </c:pt>
              </c:strCache>
            </c:strRef>
          </c:tx>
          <c:marker>
            <c:symbol val="none"/>
          </c:marker>
          <c:dLbls>
            <c:spPr>
              <a:gradFill>
                <a:gsLst>
                  <a:gs pos="100000">
                    <a:schemeClr val="lt1">
                      <a:lumMod val="95000"/>
                    </a:schemeClr>
                  </a:gs>
                  <a:gs pos="0">
                    <a:schemeClr val="lt1"/>
                  </a:gs>
                </a:gsLst>
                <a:lin ang="5400000" scaled="0"/>
              </a:gradFill>
              <a:ln>
                <a:noFill/>
              </a:ln>
              <a:effectLst/>
            </c:spPr>
            <c:txPr>
              <a:bodyPr rot="0" spcFirstLastPara="1" vertOverflow="ellipsis" vert="horz" wrap="square" lIns="0" tIns="0" rIns="0" bIns="0" anchor="t"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sl-SI"/>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dk1">
                          <a:lumMod val="35000"/>
                          <a:lumOff val="65000"/>
                        </a:schemeClr>
                      </a:solidFill>
                    </a:ln>
                    <a:effectLst/>
                  </c:spPr>
                </c15:leaderLines>
              </c:ext>
            </c:extLst>
          </c:dLbls>
          <c:cat>
            <c:numRef>
              <c:f>Slovenia_Rating!$A$2:$A$12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'Croatia_Rating'!$C$2:$C$12</c:f>
              <c:numCache>
                <c:formatCode>General</c:formatCode>
                <c:ptCount val="11"/>
                <c:pt idx="0">
                  <c:v>8</c:v>
                </c:pt>
                <c:pt idx="1">
                  <c:v>8.32</c:v>
                </c:pt>
                <c:pt idx="2">
                  <c:v>8.32</c:v>
                </c:pt>
                <c:pt idx="3">
                  <c:v>4.32</c:v>
                </c:pt>
                <c:pt idx="4">
                  <c:v>2.3400000000000003</c:v>
                </c:pt>
                <c:pt idx="5">
                  <c:v>0.68000000000000016</c:v>
                </c:pt>
                <c:pt idx="6">
                  <c:v>0.68000000000000016</c:v>
                </c:pt>
                <c:pt idx="7">
                  <c:v>1.6600000000000001</c:v>
                </c:pt>
                <c:pt idx="8">
                  <c:v>1.6000000000000014</c:v>
                </c:pt>
                <c:pt idx="9">
                  <c:v>-0.4199999999999986</c:v>
                </c:pt>
                <c:pt idx="10">
                  <c:v>0.57000000000000139</c:v>
                </c:pt>
              </c:numCache>
            </c:numRef>
          </c:val>
          <c:smooth val="0"/>
          <c:extLst>
            <c:ext xmlns:c16="http://schemas.microsoft.com/office/drawing/2014/chart" uri="{C3380CC4-5D6E-409C-BE32-E72D297353CC}">
              <c16:uniqueId val="{00000000-A362-41D1-A593-63D449D774AE}"/>
            </c:ext>
          </c:extLst>
        </c:ser>
        <c:dLbls>
          <c:dLblPos val="t"/>
          <c:showLegendKey val="0"/>
          <c:showVal val="1"/>
          <c:showCatName val="0"/>
          <c:showSerName val="0"/>
          <c:showPercent val="0"/>
          <c:showBubbleSize val="0"/>
        </c:dLbls>
        <c:smooth val="0"/>
        <c:axId val="1560804848"/>
        <c:axId val="1560806768"/>
      </c:lineChart>
      <c:catAx>
        <c:axId val="1560804848"/>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6768"/>
        <c:crosses val="autoZero"/>
        <c:auto val="1"/>
        <c:lblAlgn val="ctr"/>
        <c:lblOffset val="0"/>
        <c:noMultiLvlLbl val="0"/>
      </c:catAx>
      <c:valAx>
        <c:axId val="1560806768"/>
        <c:scaling>
          <c:orientation val="minMax"/>
          <c:min val="-5"/>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484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sl-SI"/>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l-SI" sz="1200" b="1">
                <a:solidFill>
                  <a:sysClr val="windowText" lastClr="000000"/>
                </a:solidFill>
              </a:rPr>
              <a:t>Normalized Index</a:t>
            </a:r>
            <a:r>
              <a:rPr lang="sl-SI" sz="1200" b="1" baseline="0">
                <a:solidFill>
                  <a:sysClr val="windowText" lastClr="000000"/>
                </a:solidFill>
              </a:rPr>
              <a:t> values for Bosnia and Herzegovina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l-SI"/>
        </a:p>
      </c:txPr>
    </c:title>
    <c:autoTitleDeleted val="0"/>
    <c:plotArea>
      <c:layout/>
      <c:lineChart>
        <c:grouping val="standard"/>
        <c:varyColors val="0"/>
        <c:ser>
          <c:idx val="1"/>
          <c:order val="0"/>
          <c:tx>
            <c:strRef>
              <c:f>Variables_Graphs!$B$2</c:f>
              <c:strCache>
                <c:ptCount val="1"/>
                <c:pt idx="0">
                  <c:v>HUMAN FREEDOM INDEX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Variables_Graphs!$B$31:$B$41</c:f>
              <c:numCache>
                <c:formatCode>General</c:formatCode>
                <c:ptCount val="11"/>
                <c:pt idx="0">
                  <c:v>7.4</c:v>
                </c:pt>
                <c:pt idx="1">
                  <c:v>7.41</c:v>
                </c:pt>
                <c:pt idx="2">
                  <c:v>7.48</c:v>
                </c:pt>
                <c:pt idx="3">
                  <c:v>7.44</c:v>
                </c:pt>
                <c:pt idx="4">
                  <c:v>7.43</c:v>
                </c:pt>
                <c:pt idx="5">
                  <c:v>7.36</c:v>
                </c:pt>
                <c:pt idx="6">
                  <c:v>7.24</c:v>
                </c:pt>
                <c:pt idx="7">
                  <c:v>7.15</c:v>
                </c:pt>
                <c:pt idx="8">
                  <c:v>7.33</c:v>
                </c:pt>
                <c:pt idx="9">
                  <c:v>7.15</c:v>
                </c:pt>
              </c:numCache>
            </c:numRef>
          </c:val>
          <c:smooth val="0"/>
          <c:extLst>
            <c:ext xmlns:c16="http://schemas.microsoft.com/office/drawing/2014/chart" uri="{C3380CC4-5D6E-409C-BE32-E72D297353CC}">
              <c16:uniqueId val="{00000000-070E-4954-9A13-3F9AA825C846}"/>
            </c:ext>
          </c:extLst>
        </c:ser>
        <c:ser>
          <c:idx val="2"/>
          <c:order val="1"/>
          <c:tx>
            <c:strRef>
              <c:f>Variables_Graphs!$C$2</c:f>
              <c:strCache>
                <c:ptCount val="1"/>
                <c:pt idx="0">
                  <c:v>CIVIL SOCIETY PARTICIPATION INDEX</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Variables_Graphs!$C$31:$C$41</c:f>
              <c:numCache>
                <c:formatCode>General</c:formatCode>
                <c:ptCount val="11"/>
                <c:pt idx="0">
                  <c:v>6.3</c:v>
                </c:pt>
                <c:pt idx="1">
                  <c:v>6.4</c:v>
                </c:pt>
                <c:pt idx="2">
                  <c:v>6.4</c:v>
                </c:pt>
                <c:pt idx="3">
                  <c:v>6.2</c:v>
                </c:pt>
                <c:pt idx="4">
                  <c:v>6.6000000000000005</c:v>
                </c:pt>
                <c:pt idx="5">
                  <c:v>6.8000000000000007</c:v>
                </c:pt>
                <c:pt idx="6">
                  <c:v>6.8000000000000007</c:v>
                </c:pt>
                <c:pt idx="7">
                  <c:v>6.7</c:v>
                </c:pt>
                <c:pt idx="8">
                  <c:v>6.7</c:v>
                </c:pt>
                <c:pt idx="9">
                  <c:v>6.5</c:v>
                </c:pt>
              </c:numCache>
            </c:numRef>
          </c:val>
          <c:smooth val="0"/>
          <c:extLst>
            <c:ext xmlns:c16="http://schemas.microsoft.com/office/drawing/2014/chart" uri="{C3380CC4-5D6E-409C-BE32-E72D297353CC}">
              <c16:uniqueId val="{00000001-070E-4954-9A13-3F9AA825C846}"/>
            </c:ext>
          </c:extLst>
        </c:ser>
        <c:ser>
          <c:idx val="3"/>
          <c:order val="2"/>
          <c:tx>
            <c:strRef>
              <c:f>Variables_Graphs!$D$2</c:f>
              <c:strCache>
                <c:ptCount val="1"/>
                <c:pt idx="0">
                  <c:v>POLITICAL STABILITY INDEX</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Variables_Graphs!$D$31:$D$41</c:f>
              <c:numCache>
                <c:formatCode>General</c:formatCode>
                <c:ptCount val="11"/>
                <c:pt idx="0">
                  <c:v>-1.6</c:v>
                </c:pt>
                <c:pt idx="1">
                  <c:v>-1.6</c:v>
                </c:pt>
                <c:pt idx="2">
                  <c:v>-1.4</c:v>
                </c:pt>
                <c:pt idx="3">
                  <c:v>-1.6</c:v>
                </c:pt>
                <c:pt idx="4">
                  <c:v>-1.6799999999999997</c:v>
                </c:pt>
                <c:pt idx="5">
                  <c:v>-1.7999999999999998</c:v>
                </c:pt>
                <c:pt idx="6">
                  <c:v>-1.6799999999999997</c:v>
                </c:pt>
                <c:pt idx="7">
                  <c:v>-1.92</c:v>
                </c:pt>
                <c:pt idx="8">
                  <c:v>-1.4</c:v>
                </c:pt>
              </c:numCache>
            </c:numRef>
          </c:val>
          <c:smooth val="0"/>
          <c:extLst>
            <c:ext xmlns:c16="http://schemas.microsoft.com/office/drawing/2014/chart" uri="{C3380CC4-5D6E-409C-BE32-E72D297353CC}">
              <c16:uniqueId val="{00000002-070E-4954-9A13-3F9AA825C846}"/>
            </c:ext>
          </c:extLst>
        </c:ser>
        <c:ser>
          <c:idx val="4"/>
          <c:order val="3"/>
          <c:tx>
            <c:strRef>
              <c:f>Variables_Graphs!$E$2</c:f>
              <c:strCache>
                <c:ptCount val="1"/>
                <c:pt idx="0">
                  <c:v>ACADEMIC FREEDOM INDEX</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Variables_Graphs!$E$31:$E$41</c:f>
              <c:numCache>
                <c:formatCode>General</c:formatCode>
                <c:ptCount val="11"/>
                <c:pt idx="0">
                  <c:v>7.4</c:v>
                </c:pt>
                <c:pt idx="1">
                  <c:v>7.3</c:v>
                </c:pt>
                <c:pt idx="2">
                  <c:v>7.5</c:v>
                </c:pt>
                <c:pt idx="3">
                  <c:v>7.5</c:v>
                </c:pt>
                <c:pt idx="4">
                  <c:v>7.5</c:v>
                </c:pt>
                <c:pt idx="5">
                  <c:v>7.3</c:v>
                </c:pt>
                <c:pt idx="6">
                  <c:v>7.4</c:v>
                </c:pt>
                <c:pt idx="7">
                  <c:v>7.6</c:v>
                </c:pt>
                <c:pt idx="8">
                  <c:v>7.6</c:v>
                </c:pt>
                <c:pt idx="9">
                  <c:v>7.1</c:v>
                </c:pt>
              </c:numCache>
            </c:numRef>
          </c:val>
          <c:smooth val="0"/>
          <c:extLst>
            <c:ext xmlns:c16="http://schemas.microsoft.com/office/drawing/2014/chart" uri="{C3380CC4-5D6E-409C-BE32-E72D297353CC}">
              <c16:uniqueId val="{00000003-070E-4954-9A13-3F9AA825C846}"/>
            </c:ext>
          </c:extLst>
        </c:ser>
        <c:ser>
          <c:idx val="5"/>
          <c:order val="4"/>
          <c:tx>
            <c:strRef>
              <c:f>Variables_Graphs!$F$2</c:f>
              <c:strCache>
                <c:ptCount val="1"/>
                <c:pt idx="0">
                  <c:v>ECONOMIC FREEDOM INDEX</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Variables_Graphs!$F$31:$F$41</c:f>
              <c:numCache>
                <c:formatCode>General</c:formatCode>
                <c:ptCount val="11"/>
                <c:pt idx="0">
                  <c:v>5.9</c:v>
                </c:pt>
                <c:pt idx="1">
                  <c:v>5.86</c:v>
                </c:pt>
                <c:pt idx="2">
                  <c:v>6.0200000000000005</c:v>
                </c:pt>
                <c:pt idx="3">
                  <c:v>6.14</c:v>
                </c:pt>
                <c:pt idx="4">
                  <c:v>6.1899999999999995</c:v>
                </c:pt>
                <c:pt idx="5">
                  <c:v>6.26</c:v>
                </c:pt>
                <c:pt idx="6">
                  <c:v>6.29</c:v>
                </c:pt>
                <c:pt idx="7">
                  <c:v>6.34</c:v>
                </c:pt>
                <c:pt idx="8">
                  <c:v>6.29</c:v>
                </c:pt>
                <c:pt idx="9">
                  <c:v>6.2</c:v>
                </c:pt>
                <c:pt idx="10">
                  <c:v>6.35</c:v>
                </c:pt>
              </c:numCache>
            </c:numRef>
          </c:val>
          <c:smooth val="0"/>
          <c:extLst>
            <c:ext xmlns:c16="http://schemas.microsoft.com/office/drawing/2014/chart" uri="{C3380CC4-5D6E-409C-BE32-E72D297353CC}">
              <c16:uniqueId val="{00000004-070E-4954-9A13-3F9AA825C846}"/>
            </c:ext>
          </c:extLst>
        </c:ser>
        <c:ser>
          <c:idx val="8"/>
          <c:order val="5"/>
          <c:tx>
            <c:strRef>
              <c:f>Variables_Graphs!$I$2</c:f>
              <c:strCache>
                <c:ptCount val="1"/>
                <c:pt idx="0">
                  <c:v>LIBERAL DEMOCRACY INDEX</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Variables_Graphs!$I$31:$I$41</c:f>
              <c:numCache>
                <c:formatCode>General</c:formatCode>
                <c:ptCount val="11"/>
                <c:pt idx="0">
                  <c:v>3.69</c:v>
                </c:pt>
                <c:pt idx="1">
                  <c:v>3.6399999999999997</c:v>
                </c:pt>
                <c:pt idx="2">
                  <c:v>3.6399999999999997</c:v>
                </c:pt>
                <c:pt idx="3">
                  <c:v>3.4699999999999998</c:v>
                </c:pt>
                <c:pt idx="4">
                  <c:v>3.4699999999999998</c:v>
                </c:pt>
                <c:pt idx="5">
                  <c:v>3.4000000000000004</c:v>
                </c:pt>
                <c:pt idx="6">
                  <c:v>3.35</c:v>
                </c:pt>
                <c:pt idx="7">
                  <c:v>3.4399999999999995</c:v>
                </c:pt>
                <c:pt idx="8">
                  <c:v>3.37</c:v>
                </c:pt>
                <c:pt idx="9">
                  <c:v>3.4200000000000004</c:v>
                </c:pt>
              </c:numCache>
            </c:numRef>
          </c:val>
          <c:smooth val="0"/>
          <c:extLst>
            <c:ext xmlns:c16="http://schemas.microsoft.com/office/drawing/2014/chart" uri="{C3380CC4-5D6E-409C-BE32-E72D297353CC}">
              <c16:uniqueId val="{00000005-070E-4954-9A13-3F9AA825C846}"/>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618699631"/>
        <c:axId val="618700111"/>
        <c:extLst/>
      </c:lineChart>
      <c:catAx>
        <c:axId val="618699631"/>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crossAx val="618700111"/>
        <c:crosses val="autoZero"/>
        <c:auto val="1"/>
        <c:lblAlgn val="ctr"/>
        <c:lblOffset val="100"/>
        <c:noMultiLvlLbl val="0"/>
      </c:catAx>
      <c:valAx>
        <c:axId val="61870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crossAx val="618699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l-SI"/>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l-SI" sz="1300" b="1">
                <a:solidFill>
                  <a:sysClr val="windowText" lastClr="000000"/>
                </a:solidFill>
              </a:rPr>
              <a:t>Normalized</a:t>
            </a:r>
            <a:r>
              <a:rPr lang="sl-SI" sz="1300" b="1" baseline="0">
                <a:solidFill>
                  <a:sysClr val="windowText" lastClr="000000"/>
                </a:solidFill>
              </a:rPr>
              <a:t> </a:t>
            </a:r>
            <a:r>
              <a:rPr lang="sl-SI" sz="1300" b="1">
                <a:solidFill>
                  <a:sysClr val="windowText" lastClr="000000"/>
                </a:solidFill>
              </a:rPr>
              <a:t>Index</a:t>
            </a:r>
            <a:r>
              <a:rPr lang="sl-SI" sz="1300" b="1" baseline="0">
                <a:solidFill>
                  <a:sysClr val="windowText" lastClr="000000"/>
                </a:solidFill>
              </a:rPr>
              <a:t> values for Serbia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l-SI"/>
        </a:p>
      </c:txPr>
    </c:title>
    <c:autoTitleDeleted val="0"/>
    <c:plotArea>
      <c:layout/>
      <c:lineChart>
        <c:grouping val="standard"/>
        <c:varyColors val="0"/>
        <c:ser>
          <c:idx val="1"/>
          <c:order val="0"/>
          <c:tx>
            <c:strRef>
              <c:f>Variables_Graphs!$B$2</c:f>
              <c:strCache>
                <c:ptCount val="1"/>
                <c:pt idx="0">
                  <c:v>HUMAN FREEDOM INDEX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Variables_Graphs!$B$45:$B$55</c:f>
              <c:numCache>
                <c:formatCode>General</c:formatCode>
                <c:ptCount val="11"/>
                <c:pt idx="0">
                  <c:v>7.52</c:v>
                </c:pt>
                <c:pt idx="1">
                  <c:v>7.54</c:v>
                </c:pt>
                <c:pt idx="2">
                  <c:v>7.55</c:v>
                </c:pt>
                <c:pt idx="3">
                  <c:v>7.48</c:v>
                </c:pt>
                <c:pt idx="4">
                  <c:v>7.48</c:v>
                </c:pt>
                <c:pt idx="5">
                  <c:v>7.18</c:v>
                </c:pt>
                <c:pt idx="6">
                  <c:v>7.17</c:v>
                </c:pt>
                <c:pt idx="7">
                  <c:v>7.08</c:v>
                </c:pt>
                <c:pt idx="8">
                  <c:v>7.14</c:v>
                </c:pt>
                <c:pt idx="9">
                  <c:v>7.08</c:v>
                </c:pt>
              </c:numCache>
            </c:numRef>
          </c:val>
          <c:smooth val="0"/>
          <c:extLst>
            <c:ext xmlns:c16="http://schemas.microsoft.com/office/drawing/2014/chart" uri="{C3380CC4-5D6E-409C-BE32-E72D297353CC}">
              <c16:uniqueId val="{00000000-F1B5-4D9B-AF1D-3008BA21ED63}"/>
            </c:ext>
          </c:extLst>
        </c:ser>
        <c:ser>
          <c:idx val="2"/>
          <c:order val="1"/>
          <c:tx>
            <c:strRef>
              <c:f>Variables_Graphs!$C$2</c:f>
              <c:strCache>
                <c:ptCount val="1"/>
                <c:pt idx="0">
                  <c:v>CIVIL SOCIETY PARTICIPATION INDEX</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Variables_Graphs!$C$45:$C$55</c:f>
              <c:numCache>
                <c:formatCode>General</c:formatCode>
                <c:ptCount val="11"/>
                <c:pt idx="0">
                  <c:v>6.5</c:v>
                </c:pt>
                <c:pt idx="1">
                  <c:v>6.7</c:v>
                </c:pt>
                <c:pt idx="2">
                  <c:v>5.6999999999999993</c:v>
                </c:pt>
                <c:pt idx="3">
                  <c:v>5.6000000000000005</c:v>
                </c:pt>
                <c:pt idx="4">
                  <c:v>5.8999999999999995</c:v>
                </c:pt>
                <c:pt idx="5">
                  <c:v>5.8</c:v>
                </c:pt>
                <c:pt idx="6">
                  <c:v>5.8</c:v>
                </c:pt>
                <c:pt idx="7">
                  <c:v>5.4</c:v>
                </c:pt>
                <c:pt idx="8">
                  <c:v>5.2</c:v>
                </c:pt>
                <c:pt idx="9">
                  <c:v>5.3</c:v>
                </c:pt>
              </c:numCache>
            </c:numRef>
          </c:val>
          <c:smooth val="0"/>
          <c:extLst>
            <c:ext xmlns:c16="http://schemas.microsoft.com/office/drawing/2014/chart" uri="{C3380CC4-5D6E-409C-BE32-E72D297353CC}">
              <c16:uniqueId val="{00000001-F1B5-4D9B-AF1D-3008BA21ED63}"/>
            </c:ext>
          </c:extLst>
        </c:ser>
        <c:ser>
          <c:idx val="3"/>
          <c:order val="2"/>
          <c:tx>
            <c:strRef>
              <c:f>Variables_Graphs!$D$2</c:f>
              <c:strCache>
                <c:ptCount val="1"/>
                <c:pt idx="0">
                  <c:v>POLITICAL STABILITY INDEX</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Variables_Graphs!$D$45:$D$55</c:f>
              <c:numCache>
                <c:formatCode>General</c:formatCode>
                <c:ptCount val="11"/>
                <c:pt idx="0">
                  <c:v>0.91999999999999993</c:v>
                </c:pt>
                <c:pt idx="1">
                  <c:v>0.52</c:v>
                </c:pt>
                <c:pt idx="2">
                  <c:v>0.32</c:v>
                </c:pt>
                <c:pt idx="3">
                  <c:v>0.04</c:v>
                </c:pt>
                <c:pt idx="4">
                  <c:v>-0.32</c:v>
                </c:pt>
                <c:pt idx="5">
                  <c:v>-0.68</c:v>
                </c:pt>
                <c:pt idx="6">
                  <c:v>-0.36</c:v>
                </c:pt>
                <c:pt idx="7">
                  <c:v>-0.68</c:v>
                </c:pt>
                <c:pt idx="8">
                  <c:v>-0.16</c:v>
                </c:pt>
              </c:numCache>
            </c:numRef>
          </c:val>
          <c:smooth val="0"/>
          <c:extLst>
            <c:ext xmlns:c16="http://schemas.microsoft.com/office/drawing/2014/chart" uri="{C3380CC4-5D6E-409C-BE32-E72D297353CC}">
              <c16:uniqueId val="{00000002-F1B5-4D9B-AF1D-3008BA21ED63}"/>
            </c:ext>
          </c:extLst>
        </c:ser>
        <c:ser>
          <c:idx val="4"/>
          <c:order val="3"/>
          <c:tx>
            <c:strRef>
              <c:f>Variables_Graphs!$E$2</c:f>
              <c:strCache>
                <c:ptCount val="1"/>
                <c:pt idx="0">
                  <c:v>ACADEMIC FREEDOM INDEX</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Variables_Graphs!$E$45:$E$55</c:f>
              <c:numCache>
                <c:formatCode>General</c:formatCode>
                <c:ptCount val="11"/>
                <c:pt idx="0">
                  <c:v>8.3000000000000007</c:v>
                </c:pt>
                <c:pt idx="1">
                  <c:v>8.1999999999999993</c:v>
                </c:pt>
                <c:pt idx="2">
                  <c:v>8.1999999999999993</c:v>
                </c:pt>
                <c:pt idx="3">
                  <c:v>8.1000000000000014</c:v>
                </c:pt>
                <c:pt idx="4">
                  <c:v>8.1000000000000014</c:v>
                </c:pt>
                <c:pt idx="5">
                  <c:v>8.1000000000000014</c:v>
                </c:pt>
                <c:pt idx="6">
                  <c:v>7.6</c:v>
                </c:pt>
                <c:pt idx="7">
                  <c:v>7.6</c:v>
                </c:pt>
                <c:pt idx="8">
                  <c:v>7.6</c:v>
                </c:pt>
                <c:pt idx="9">
                  <c:v>7.6</c:v>
                </c:pt>
              </c:numCache>
            </c:numRef>
          </c:val>
          <c:smooth val="0"/>
          <c:extLst>
            <c:ext xmlns:c16="http://schemas.microsoft.com/office/drawing/2014/chart" uri="{C3380CC4-5D6E-409C-BE32-E72D297353CC}">
              <c16:uniqueId val="{00000003-F1B5-4D9B-AF1D-3008BA21ED63}"/>
            </c:ext>
          </c:extLst>
        </c:ser>
        <c:ser>
          <c:idx val="5"/>
          <c:order val="4"/>
          <c:tx>
            <c:strRef>
              <c:f>Variables_Graphs!$F$2</c:f>
              <c:strCache>
                <c:ptCount val="1"/>
                <c:pt idx="0">
                  <c:v>ECONOMIC FREEDOM INDEX</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Variables_Graphs!$F$45:$F$55</c:f>
              <c:numCache>
                <c:formatCode>General</c:formatCode>
                <c:ptCount val="11"/>
                <c:pt idx="0">
                  <c:v>6</c:v>
                </c:pt>
                <c:pt idx="1">
                  <c:v>6.21</c:v>
                </c:pt>
                <c:pt idx="2">
                  <c:v>5.89</c:v>
                </c:pt>
                <c:pt idx="3">
                  <c:v>6.25</c:v>
                </c:pt>
                <c:pt idx="4">
                  <c:v>6.39</c:v>
                </c:pt>
                <c:pt idx="5">
                  <c:v>6.6</c:v>
                </c:pt>
                <c:pt idx="6">
                  <c:v>6.7200000000000006</c:v>
                </c:pt>
                <c:pt idx="7">
                  <c:v>6.5200000000000005</c:v>
                </c:pt>
                <c:pt idx="8">
                  <c:v>6.35</c:v>
                </c:pt>
                <c:pt idx="9">
                  <c:v>6.2700000000000005</c:v>
                </c:pt>
                <c:pt idx="10">
                  <c:v>6.44</c:v>
                </c:pt>
              </c:numCache>
            </c:numRef>
          </c:val>
          <c:smooth val="0"/>
          <c:extLst>
            <c:ext xmlns:c16="http://schemas.microsoft.com/office/drawing/2014/chart" uri="{C3380CC4-5D6E-409C-BE32-E72D297353CC}">
              <c16:uniqueId val="{00000004-F1B5-4D9B-AF1D-3008BA21ED63}"/>
            </c:ext>
          </c:extLst>
        </c:ser>
        <c:ser>
          <c:idx val="8"/>
          <c:order val="5"/>
          <c:tx>
            <c:strRef>
              <c:f>Variables_Graphs!$I$2</c:f>
              <c:strCache>
                <c:ptCount val="1"/>
                <c:pt idx="0">
                  <c:v>LIBERAL DEMOCRACY INDEX</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Variables_Graphs!$I$45:$I$55</c:f>
              <c:numCache>
                <c:formatCode>General</c:formatCode>
                <c:ptCount val="11"/>
                <c:pt idx="0">
                  <c:v>3.46</c:v>
                </c:pt>
                <c:pt idx="1">
                  <c:v>3.22</c:v>
                </c:pt>
                <c:pt idx="2">
                  <c:v>2.92</c:v>
                </c:pt>
                <c:pt idx="3">
                  <c:v>2.84</c:v>
                </c:pt>
                <c:pt idx="4">
                  <c:v>2.79</c:v>
                </c:pt>
                <c:pt idx="5">
                  <c:v>2.42</c:v>
                </c:pt>
                <c:pt idx="6">
                  <c:v>2.36</c:v>
                </c:pt>
                <c:pt idx="7">
                  <c:v>2.6</c:v>
                </c:pt>
                <c:pt idx="8">
                  <c:v>2.4699999999999998</c:v>
                </c:pt>
                <c:pt idx="9">
                  <c:v>2.2000000000000002</c:v>
                </c:pt>
              </c:numCache>
            </c:numRef>
          </c:val>
          <c:smooth val="0"/>
          <c:extLst>
            <c:ext xmlns:c16="http://schemas.microsoft.com/office/drawing/2014/chart" uri="{C3380CC4-5D6E-409C-BE32-E72D297353CC}">
              <c16:uniqueId val="{00000005-F1B5-4D9B-AF1D-3008BA21ED63}"/>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618699631"/>
        <c:axId val="618700111"/>
        <c:extLst/>
      </c:lineChart>
      <c:catAx>
        <c:axId val="618699631"/>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crossAx val="618700111"/>
        <c:crosses val="autoZero"/>
        <c:auto val="1"/>
        <c:lblAlgn val="ctr"/>
        <c:lblOffset val="100"/>
        <c:noMultiLvlLbl val="0"/>
      </c:catAx>
      <c:valAx>
        <c:axId val="61870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crossAx val="618699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l-SI"/>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l-SI" sz="1300" b="1">
                <a:solidFill>
                  <a:sysClr val="windowText" lastClr="000000"/>
                </a:solidFill>
              </a:rPr>
              <a:t>Normalized Index</a:t>
            </a:r>
            <a:r>
              <a:rPr lang="sl-SI" sz="1300" b="1" baseline="0">
                <a:solidFill>
                  <a:sysClr val="windowText" lastClr="000000"/>
                </a:solidFill>
              </a:rPr>
              <a:t> values for North Macedonia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l-SI"/>
        </a:p>
      </c:txPr>
    </c:title>
    <c:autoTitleDeleted val="0"/>
    <c:plotArea>
      <c:layout/>
      <c:lineChart>
        <c:grouping val="standard"/>
        <c:varyColors val="0"/>
        <c:ser>
          <c:idx val="1"/>
          <c:order val="0"/>
          <c:tx>
            <c:strRef>
              <c:f>Variables_Graphs!$B$2</c:f>
              <c:strCache>
                <c:ptCount val="1"/>
                <c:pt idx="0">
                  <c:v>HUMAN FREEDOM INDEX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Variables_Graphs!$B$59:$B$69</c:f>
              <c:numCache>
                <c:formatCode>General</c:formatCode>
                <c:ptCount val="11"/>
                <c:pt idx="0">
                  <c:v>7.32</c:v>
                </c:pt>
                <c:pt idx="1">
                  <c:v>7.28</c:v>
                </c:pt>
                <c:pt idx="2">
                  <c:v>7.55</c:v>
                </c:pt>
                <c:pt idx="3">
                  <c:v>7.45</c:v>
                </c:pt>
                <c:pt idx="4">
                  <c:v>7.64</c:v>
                </c:pt>
                <c:pt idx="5">
                  <c:v>7.61</c:v>
                </c:pt>
                <c:pt idx="6">
                  <c:v>7.61</c:v>
                </c:pt>
                <c:pt idx="7">
                  <c:v>7.61</c:v>
                </c:pt>
                <c:pt idx="8">
                  <c:v>7.64</c:v>
                </c:pt>
                <c:pt idx="9">
                  <c:v>7.61</c:v>
                </c:pt>
              </c:numCache>
            </c:numRef>
          </c:val>
          <c:smooth val="0"/>
          <c:extLst>
            <c:ext xmlns:c16="http://schemas.microsoft.com/office/drawing/2014/chart" uri="{C3380CC4-5D6E-409C-BE32-E72D297353CC}">
              <c16:uniqueId val="{00000000-759B-4753-8DE4-7C1454A56614}"/>
            </c:ext>
          </c:extLst>
        </c:ser>
        <c:ser>
          <c:idx val="2"/>
          <c:order val="1"/>
          <c:tx>
            <c:strRef>
              <c:f>Variables_Graphs!$C$2</c:f>
              <c:strCache>
                <c:ptCount val="1"/>
                <c:pt idx="0">
                  <c:v>CIVIL SOCIETY PARTICIPATION INDEX</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Variables_Graphs!$C$59:$C$69</c:f>
              <c:numCache>
                <c:formatCode>General</c:formatCode>
                <c:ptCount val="11"/>
                <c:pt idx="0">
                  <c:v>6.2</c:v>
                </c:pt>
                <c:pt idx="1">
                  <c:v>5.6000000000000005</c:v>
                </c:pt>
                <c:pt idx="2">
                  <c:v>6.8000000000000007</c:v>
                </c:pt>
                <c:pt idx="3">
                  <c:v>6.6000000000000005</c:v>
                </c:pt>
                <c:pt idx="4">
                  <c:v>6.7</c:v>
                </c:pt>
                <c:pt idx="5">
                  <c:v>6.6000000000000005</c:v>
                </c:pt>
                <c:pt idx="6">
                  <c:v>6.7</c:v>
                </c:pt>
                <c:pt idx="7">
                  <c:v>6.5</c:v>
                </c:pt>
                <c:pt idx="8">
                  <c:v>6.7</c:v>
                </c:pt>
                <c:pt idx="9">
                  <c:v>6</c:v>
                </c:pt>
              </c:numCache>
            </c:numRef>
          </c:val>
          <c:smooth val="0"/>
          <c:extLst>
            <c:ext xmlns:c16="http://schemas.microsoft.com/office/drawing/2014/chart" uri="{C3380CC4-5D6E-409C-BE32-E72D297353CC}">
              <c16:uniqueId val="{00000001-759B-4753-8DE4-7C1454A56614}"/>
            </c:ext>
          </c:extLst>
        </c:ser>
        <c:ser>
          <c:idx val="3"/>
          <c:order val="2"/>
          <c:tx>
            <c:strRef>
              <c:f>Variables_Graphs!$D$2</c:f>
              <c:strCache>
                <c:ptCount val="1"/>
                <c:pt idx="0">
                  <c:v>POLITICAL STABILITY INDEX</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Variables_Graphs!$D$59:$D$69</c:f>
              <c:numCache>
                <c:formatCode>General</c:formatCode>
                <c:ptCount val="11"/>
                <c:pt idx="0">
                  <c:v>-1.1599999999999999</c:v>
                </c:pt>
                <c:pt idx="1">
                  <c:v>-1.44</c:v>
                </c:pt>
                <c:pt idx="2">
                  <c:v>-1.04</c:v>
                </c:pt>
                <c:pt idx="3">
                  <c:v>-0.83999999999999986</c:v>
                </c:pt>
                <c:pt idx="4">
                  <c:v>0.04</c:v>
                </c:pt>
                <c:pt idx="5">
                  <c:v>0.43999999999999995</c:v>
                </c:pt>
                <c:pt idx="6">
                  <c:v>0.24</c:v>
                </c:pt>
                <c:pt idx="7">
                  <c:v>0.72</c:v>
                </c:pt>
                <c:pt idx="8">
                  <c:v>0.68</c:v>
                </c:pt>
              </c:numCache>
            </c:numRef>
          </c:val>
          <c:smooth val="0"/>
          <c:extLst>
            <c:ext xmlns:c16="http://schemas.microsoft.com/office/drawing/2014/chart" uri="{C3380CC4-5D6E-409C-BE32-E72D297353CC}">
              <c16:uniqueId val="{00000002-759B-4753-8DE4-7C1454A56614}"/>
            </c:ext>
          </c:extLst>
        </c:ser>
        <c:ser>
          <c:idx val="4"/>
          <c:order val="3"/>
          <c:tx>
            <c:strRef>
              <c:f>Variables_Graphs!$E$2</c:f>
              <c:strCache>
                <c:ptCount val="1"/>
                <c:pt idx="0">
                  <c:v>ACADEMIC FREEDOM INDEX</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Variables_Graphs!$E$59:$E$69</c:f>
              <c:numCache>
                <c:formatCode>General</c:formatCode>
                <c:ptCount val="11"/>
                <c:pt idx="0">
                  <c:v>6.4</c:v>
                </c:pt>
                <c:pt idx="1">
                  <c:v>6.6000000000000005</c:v>
                </c:pt>
                <c:pt idx="2">
                  <c:v>8.5</c:v>
                </c:pt>
                <c:pt idx="3">
                  <c:v>8.5</c:v>
                </c:pt>
                <c:pt idx="4">
                  <c:v>8.5</c:v>
                </c:pt>
                <c:pt idx="5">
                  <c:v>8.5</c:v>
                </c:pt>
                <c:pt idx="6">
                  <c:v>8.4</c:v>
                </c:pt>
                <c:pt idx="7">
                  <c:v>8.1999999999999993</c:v>
                </c:pt>
                <c:pt idx="8">
                  <c:v>7.8000000000000007</c:v>
                </c:pt>
                <c:pt idx="9">
                  <c:v>7.4</c:v>
                </c:pt>
              </c:numCache>
            </c:numRef>
          </c:val>
          <c:smooth val="0"/>
          <c:extLst>
            <c:ext xmlns:c16="http://schemas.microsoft.com/office/drawing/2014/chart" uri="{C3380CC4-5D6E-409C-BE32-E72D297353CC}">
              <c16:uniqueId val="{00000003-759B-4753-8DE4-7C1454A56614}"/>
            </c:ext>
          </c:extLst>
        </c:ser>
        <c:ser>
          <c:idx val="5"/>
          <c:order val="4"/>
          <c:tx>
            <c:strRef>
              <c:f>Variables_Graphs!$F$2</c:f>
              <c:strCache>
                <c:ptCount val="1"/>
                <c:pt idx="0">
                  <c:v>ECONOMIC FREEDOM INDEX</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Variables_Graphs!$F$59:$F$69</c:f>
              <c:numCache>
                <c:formatCode>General</c:formatCode>
                <c:ptCount val="11"/>
                <c:pt idx="0">
                  <c:v>6.7099999999999991</c:v>
                </c:pt>
                <c:pt idx="1">
                  <c:v>6.75</c:v>
                </c:pt>
                <c:pt idx="2">
                  <c:v>7.07</c:v>
                </c:pt>
                <c:pt idx="3">
                  <c:v>7.13</c:v>
                </c:pt>
                <c:pt idx="4">
                  <c:v>7.1099999999999994</c:v>
                </c:pt>
                <c:pt idx="5">
                  <c:v>6.95</c:v>
                </c:pt>
                <c:pt idx="6">
                  <c:v>6.8599999999999994</c:v>
                </c:pt>
                <c:pt idx="7">
                  <c:v>6.57</c:v>
                </c:pt>
                <c:pt idx="8">
                  <c:v>6.37</c:v>
                </c:pt>
                <c:pt idx="9">
                  <c:v>6.14</c:v>
                </c:pt>
                <c:pt idx="10">
                  <c:v>6.32</c:v>
                </c:pt>
              </c:numCache>
            </c:numRef>
          </c:val>
          <c:smooth val="0"/>
          <c:extLst>
            <c:ext xmlns:c16="http://schemas.microsoft.com/office/drawing/2014/chart" uri="{C3380CC4-5D6E-409C-BE32-E72D297353CC}">
              <c16:uniqueId val="{00000004-759B-4753-8DE4-7C1454A56614}"/>
            </c:ext>
          </c:extLst>
        </c:ser>
        <c:ser>
          <c:idx val="8"/>
          <c:order val="5"/>
          <c:tx>
            <c:strRef>
              <c:f>Variables_Graphs!$I$2</c:f>
              <c:strCache>
                <c:ptCount val="1"/>
                <c:pt idx="0">
                  <c:v>LIBERAL DEMOCRACY INDEX</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Variables_Graphs!$I$59:$I$69</c:f>
              <c:numCache>
                <c:formatCode>General</c:formatCode>
                <c:ptCount val="11"/>
                <c:pt idx="0">
                  <c:v>2.68</c:v>
                </c:pt>
                <c:pt idx="1">
                  <c:v>2.7800000000000002</c:v>
                </c:pt>
                <c:pt idx="2">
                  <c:v>3.83</c:v>
                </c:pt>
                <c:pt idx="3">
                  <c:v>3.9000000000000004</c:v>
                </c:pt>
                <c:pt idx="4">
                  <c:v>4.1399999999999997</c:v>
                </c:pt>
                <c:pt idx="5">
                  <c:v>4.04</c:v>
                </c:pt>
                <c:pt idx="6">
                  <c:v>3.89</c:v>
                </c:pt>
                <c:pt idx="7">
                  <c:v>3.75</c:v>
                </c:pt>
                <c:pt idx="8">
                  <c:v>3.66</c:v>
                </c:pt>
                <c:pt idx="9">
                  <c:v>3.74</c:v>
                </c:pt>
              </c:numCache>
            </c:numRef>
          </c:val>
          <c:smooth val="0"/>
          <c:extLst>
            <c:ext xmlns:c16="http://schemas.microsoft.com/office/drawing/2014/chart" uri="{C3380CC4-5D6E-409C-BE32-E72D297353CC}">
              <c16:uniqueId val="{00000005-759B-4753-8DE4-7C1454A56614}"/>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618699631"/>
        <c:axId val="618700111"/>
        <c:extLst/>
      </c:lineChart>
      <c:catAx>
        <c:axId val="618699631"/>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crossAx val="618700111"/>
        <c:crosses val="autoZero"/>
        <c:auto val="1"/>
        <c:lblAlgn val="ctr"/>
        <c:lblOffset val="100"/>
        <c:noMultiLvlLbl val="0"/>
      </c:catAx>
      <c:valAx>
        <c:axId val="61870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crossAx val="618699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l-SI"/>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l-SI" sz="1300" b="1">
                <a:solidFill>
                  <a:sysClr val="windowText" lastClr="000000"/>
                </a:solidFill>
              </a:rPr>
              <a:t>Normalized Index</a:t>
            </a:r>
            <a:r>
              <a:rPr lang="sl-SI" sz="1300" b="1" baseline="0">
                <a:solidFill>
                  <a:sysClr val="windowText" lastClr="000000"/>
                </a:solidFill>
              </a:rPr>
              <a:t> values for Hungary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l-SI"/>
        </a:p>
      </c:txPr>
    </c:title>
    <c:autoTitleDeleted val="0"/>
    <c:plotArea>
      <c:layout/>
      <c:lineChart>
        <c:grouping val="standard"/>
        <c:varyColors val="0"/>
        <c:ser>
          <c:idx val="1"/>
          <c:order val="0"/>
          <c:tx>
            <c:strRef>
              <c:f>Variables_Graphs!$B$2</c:f>
              <c:strCache>
                <c:ptCount val="1"/>
                <c:pt idx="0">
                  <c:v>HUMAN FREEDOM INDEX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Variables_Graphs!$B$73:$B$83</c:f>
              <c:numCache>
                <c:formatCode>General</c:formatCode>
                <c:ptCount val="11"/>
                <c:pt idx="0">
                  <c:v>7.89</c:v>
                </c:pt>
                <c:pt idx="1">
                  <c:v>7.94</c:v>
                </c:pt>
                <c:pt idx="2">
                  <c:v>7.74</c:v>
                </c:pt>
                <c:pt idx="3">
                  <c:v>7.66</c:v>
                </c:pt>
                <c:pt idx="4">
                  <c:v>7.62</c:v>
                </c:pt>
                <c:pt idx="5">
                  <c:v>7.22</c:v>
                </c:pt>
                <c:pt idx="6">
                  <c:v>7.24</c:v>
                </c:pt>
                <c:pt idx="7">
                  <c:v>7.44</c:v>
                </c:pt>
                <c:pt idx="8">
                  <c:v>7.24</c:v>
                </c:pt>
                <c:pt idx="9">
                  <c:v>7.44</c:v>
                </c:pt>
              </c:numCache>
            </c:numRef>
          </c:val>
          <c:smooth val="0"/>
          <c:extLst>
            <c:ext xmlns:c16="http://schemas.microsoft.com/office/drawing/2014/chart" uri="{C3380CC4-5D6E-409C-BE32-E72D297353CC}">
              <c16:uniqueId val="{00000000-DDC7-452E-B845-77F7A18FA185}"/>
            </c:ext>
          </c:extLst>
        </c:ser>
        <c:ser>
          <c:idx val="2"/>
          <c:order val="1"/>
          <c:tx>
            <c:strRef>
              <c:f>Variables_Graphs!$C$2</c:f>
              <c:strCache>
                <c:ptCount val="1"/>
                <c:pt idx="0">
                  <c:v>CIVIL SOCIETY PARTICIPATION INDEX</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Variables_Graphs!$C$73:$C$83</c:f>
              <c:numCache>
                <c:formatCode>General</c:formatCode>
                <c:ptCount val="11"/>
                <c:pt idx="0">
                  <c:v>5.7</c:v>
                </c:pt>
                <c:pt idx="1">
                  <c:v>5.8</c:v>
                </c:pt>
                <c:pt idx="2">
                  <c:v>5.8</c:v>
                </c:pt>
                <c:pt idx="3">
                  <c:v>5.6000000000000005</c:v>
                </c:pt>
                <c:pt idx="4">
                  <c:v>5.6000000000000005</c:v>
                </c:pt>
                <c:pt idx="5">
                  <c:v>5.6000000000000005</c:v>
                </c:pt>
                <c:pt idx="6">
                  <c:v>5.6000000000000005</c:v>
                </c:pt>
                <c:pt idx="7">
                  <c:v>5.5</c:v>
                </c:pt>
                <c:pt idx="8">
                  <c:v>5</c:v>
                </c:pt>
                <c:pt idx="9">
                  <c:v>4.4000000000000004</c:v>
                </c:pt>
              </c:numCache>
            </c:numRef>
          </c:val>
          <c:smooth val="0"/>
          <c:extLst>
            <c:ext xmlns:c16="http://schemas.microsoft.com/office/drawing/2014/chart" uri="{C3380CC4-5D6E-409C-BE32-E72D297353CC}">
              <c16:uniqueId val="{00000001-DDC7-452E-B845-77F7A18FA185}"/>
            </c:ext>
          </c:extLst>
        </c:ser>
        <c:ser>
          <c:idx val="3"/>
          <c:order val="2"/>
          <c:tx>
            <c:strRef>
              <c:f>Variables_Graphs!$D$2</c:f>
              <c:strCache>
                <c:ptCount val="1"/>
                <c:pt idx="0">
                  <c:v>POLITICAL STABILITY INDEX</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Variables_Graphs!$D$73:$D$83</c:f>
              <c:numCache>
                <c:formatCode>General</c:formatCode>
                <c:ptCount val="11"/>
                <c:pt idx="0">
                  <c:v>2.96</c:v>
                </c:pt>
                <c:pt idx="1">
                  <c:v>2.56</c:v>
                </c:pt>
                <c:pt idx="2">
                  <c:v>3.2</c:v>
                </c:pt>
                <c:pt idx="3">
                  <c:v>2.96</c:v>
                </c:pt>
                <c:pt idx="4">
                  <c:v>3.04</c:v>
                </c:pt>
                <c:pt idx="5">
                  <c:v>3.3599999999999994</c:v>
                </c:pt>
                <c:pt idx="6">
                  <c:v>3.2</c:v>
                </c:pt>
                <c:pt idx="7">
                  <c:v>2.72</c:v>
                </c:pt>
                <c:pt idx="8">
                  <c:v>2.92</c:v>
                </c:pt>
              </c:numCache>
            </c:numRef>
          </c:val>
          <c:smooth val="0"/>
          <c:extLst>
            <c:ext xmlns:c16="http://schemas.microsoft.com/office/drawing/2014/chart" uri="{C3380CC4-5D6E-409C-BE32-E72D297353CC}">
              <c16:uniqueId val="{00000002-DDC7-452E-B845-77F7A18FA185}"/>
            </c:ext>
          </c:extLst>
        </c:ser>
        <c:ser>
          <c:idx val="4"/>
          <c:order val="3"/>
          <c:tx>
            <c:strRef>
              <c:f>Variables_Graphs!$E$2</c:f>
              <c:strCache>
                <c:ptCount val="1"/>
                <c:pt idx="0">
                  <c:v>ACADEMIC FREEDOM INDEX</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Variables_Graphs!$E$73:$E$83</c:f>
              <c:numCache>
                <c:formatCode>General</c:formatCode>
                <c:ptCount val="11"/>
                <c:pt idx="0">
                  <c:v>5.3</c:v>
                </c:pt>
                <c:pt idx="1">
                  <c:v>5.3000000000000007</c:v>
                </c:pt>
                <c:pt idx="2">
                  <c:v>4.9000000000000004</c:v>
                </c:pt>
                <c:pt idx="3">
                  <c:v>4.5</c:v>
                </c:pt>
                <c:pt idx="4">
                  <c:v>4.3</c:v>
                </c:pt>
                <c:pt idx="5">
                  <c:v>4</c:v>
                </c:pt>
                <c:pt idx="6">
                  <c:v>3.7</c:v>
                </c:pt>
                <c:pt idx="7">
                  <c:v>3.4000000000000004</c:v>
                </c:pt>
                <c:pt idx="8">
                  <c:v>3.3</c:v>
                </c:pt>
                <c:pt idx="9">
                  <c:v>3</c:v>
                </c:pt>
              </c:numCache>
            </c:numRef>
          </c:val>
          <c:smooth val="0"/>
          <c:extLst>
            <c:ext xmlns:c16="http://schemas.microsoft.com/office/drawing/2014/chart" uri="{C3380CC4-5D6E-409C-BE32-E72D297353CC}">
              <c16:uniqueId val="{00000003-DDC7-452E-B845-77F7A18FA185}"/>
            </c:ext>
          </c:extLst>
        </c:ser>
        <c:ser>
          <c:idx val="5"/>
          <c:order val="4"/>
          <c:tx>
            <c:strRef>
              <c:f>Variables_Graphs!$F$2</c:f>
              <c:strCache>
                <c:ptCount val="1"/>
                <c:pt idx="0">
                  <c:v>ECONOMIC FREEDOM INDEX</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Variables_Graphs!$F$73:$F$83</c:f>
              <c:numCache>
                <c:formatCode>General</c:formatCode>
                <c:ptCount val="11"/>
                <c:pt idx="0">
                  <c:v>6.68</c:v>
                </c:pt>
                <c:pt idx="1">
                  <c:v>6.6</c:v>
                </c:pt>
                <c:pt idx="2">
                  <c:v>6.58</c:v>
                </c:pt>
                <c:pt idx="3">
                  <c:v>6.67</c:v>
                </c:pt>
                <c:pt idx="4">
                  <c:v>6.5</c:v>
                </c:pt>
                <c:pt idx="5">
                  <c:v>6.6400000000000006</c:v>
                </c:pt>
                <c:pt idx="6">
                  <c:v>6.7200000000000006</c:v>
                </c:pt>
                <c:pt idx="7">
                  <c:v>6.69</c:v>
                </c:pt>
                <c:pt idx="8">
                  <c:v>6.4099999999999993</c:v>
                </c:pt>
                <c:pt idx="9">
                  <c:v>6.12</c:v>
                </c:pt>
                <c:pt idx="10">
                  <c:v>6.14</c:v>
                </c:pt>
              </c:numCache>
            </c:numRef>
          </c:val>
          <c:smooth val="0"/>
          <c:extLst>
            <c:ext xmlns:c16="http://schemas.microsoft.com/office/drawing/2014/chart" uri="{C3380CC4-5D6E-409C-BE32-E72D297353CC}">
              <c16:uniqueId val="{00000004-DDC7-452E-B845-77F7A18FA185}"/>
            </c:ext>
          </c:extLst>
        </c:ser>
        <c:ser>
          <c:idx val="8"/>
          <c:order val="5"/>
          <c:tx>
            <c:strRef>
              <c:f>Variables_Graphs!$I$2</c:f>
              <c:strCache>
                <c:ptCount val="1"/>
                <c:pt idx="0">
                  <c:v>LIBERAL DEMOCRACY INDEX</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Variables_Graphs!$I$73:$I$83</c:f>
              <c:numCache>
                <c:formatCode>General</c:formatCode>
                <c:ptCount val="11"/>
                <c:pt idx="0">
                  <c:v>4.7799999999999994</c:v>
                </c:pt>
                <c:pt idx="1">
                  <c:v>4.71</c:v>
                </c:pt>
                <c:pt idx="2">
                  <c:v>4.3499999999999996</c:v>
                </c:pt>
                <c:pt idx="3">
                  <c:v>3.73</c:v>
                </c:pt>
                <c:pt idx="4">
                  <c:v>3.6399999999999997</c:v>
                </c:pt>
                <c:pt idx="5">
                  <c:v>3.58</c:v>
                </c:pt>
                <c:pt idx="6">
                  <c:v>3.4499999999999997</c:v>
                </c:pt>
                <c:pt idx="7">
                  <c:v>3.35</c:v>
                </c:pt>
                <c:pt idx="8">
                  <c:v>3.23</c:v>
                </c:pt>
                <c:pt idx="9">
                  <c:v>3.18</c:v>
                </c:pt>
              </c:numCache>
            </c:numRef>
          </c:val>
          <c:smooth val="0"/>
          <c:extLst>
            <c:ext xmlns:c16="http://schemas.microsoft.com/office/drawing/2014/chart" uri="{C3380CC4-5D6E-409C-BE32-E72D297353CC}">
              <c16:uniqueId val="{00000005-DDC7-452E-B845-77F7A18FA185}"/>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618699631"/>
        <c:axId val="618700111"/>
        <c:extLst/>
      </c:lineChart>
      <c:catAx>
        <c:axId val="618699631"/>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crossAx val="618700111"/>
        <c:crosses val="autoZero"/>
        <c:auto val="1"/>
        <c:lblAlgn val="ctr"/>
        <c:lblOffset val="100"/>
        <c:noMultiLvlLbl val="0"/>
      </c:catAx>
      <c:valAx>
        <c:axId val="61870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crossAx val="618699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l-SI"/>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l-SI" sz="1300" b="1">
                <a:solidFill>
                  <a:sysClr val="windowText" lastClr="000000"/>
                </a:solidFill>
              </a:rPr>
              <a:t>Normalized Index</a:t>
            </a:r>
            <a:r>
              <a:rPr lang="sl-SI" sz="1300" b="1" baseline="0">
                <a:solidFill>
                  <a:sysClr val="windowText" lastClr="000000"/>
                </a:solidFill>
              </a:rPr>
              <a:t> values for Montenegro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l-SI"/>
        </a:p>
      </c:txPr>
    </c:title>
    <c:autoTitleDeleted val="0"/>
    <c:plotArea>
      <c:layout/>
      <c:lineChart>
        <c:grouping val="standard"/>
        <c:varyColors val="0"/>
        <c:ser>
          <c:idx val="1"/>
          <c:order val="0"/>
          <c:tx>
            <c:strRef>
              <c:f>Variables_Graphs!$B$2</c:f>
              <c:strCache>
                <c:ptCount val="1"/>
                <c:pt idx="0">
                  <c:v>HUMAN FREEDOM INDEX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Variables_Graphs!$B$87:$B$97</c:f>
              <c:numCache>
                <c:formatCode>General</c:formatCode>
                <c:ptCount val="11"/>
                <c:pt idx="0">
                  <c:v>7.81</c:v>
                </c:pt>
                <c:pt idx="1">
                  <c:v>7.92</c:v>
                </c:pt>
                <c:pt idx="2">
                  <c:v>7.69</c:v>
                </c:pt>
                <c:pt idx="3">
                  <c:v>7.74</c:v>
                </c:pt>
                <c:pt idx="4">
                  <c:v>7.77</c:v>
                </c:pt>
                <c:pt idx="5">
                  <c:v>7.4</c:v>
                </c:pt>
                <c:pt idx="6">
                  <c:v>7.7</c:v>
                </c:pt>
                <c:pt idx="7">
                  <c:v>7.77</c:v>
                </c:pt>
                <c:pt idx="8">
                  <c:v>7.8</c:v>
                </c:pt>
                <c:pt idx="9">
                  <c:v>7.77</c:v>
                </c:pt>
              </c:numCache>
            </c:numRef>
          </c:val>
          <c:smooth val="0"/>
          <c:extLst>
            <c:ext xmlns:c16="http://schemas.microsoft.com/office/drawing/2014/chart" uri="{C3380CC4-5D6E-409C-BE32-E72D297353CC}">
              <c16:uniqueId val="{00000000-B7C7-4A1A-8593-40C59C21F832}"/>
            </c:ext>
          </c:extLst>
        </c:ser>
        <c:ser>
          <c:idx val="2"/>
          <c:order val="1"/>
          <c:tx>
            <c:strRef>
              <c:f>Variables_Graphs!$C$2</c:f>
              <c:strCache>
                <c:ptCount val="1"/>
                <c:pt idx="0">
                  <c:v>CIVIL SOCIETY PARTICIPATION INDEX</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Variables_Graphs!$C$87:$C$97</c:f>
              <c:numCache>
                <c:formatCode>General</c:formatCode>
                <c:ptCount val="11"/>
                <c:pt idx="0">
                  <c:v>7.3</c:v>
                </c:pt>
                <c:pt idx="1">
                  <c:v>7.3</c:v>
                </c:pt>
                <c:pt idx="2">
                  <c:v>7.7</c:v>
                </c:pt>
                <c:pt idx="3">
                  <c:v>7.1999999999999993</c:v>
                </c:pt>
                <c:pt idx="4">
                  <c:v>7.3</c:v>
                </c:pt>
                <c:pt idx="5">
                  <c:v>7.5</c:v>
                </c:pt>
                <c:pt idx="6">
                  <c:v>6.8999999999999995</c:v>
                </c:pt>
                <c:pt idx="7">
                  <c:v>6.8000000000000007</c:v>
                </c:pt>
                <c:pt idx="8">
                  <c:v>6.6000000000000005</c:v>
                </c:pt>
                <c:pt idx="9">
                  <c:v>7.2</c:v>
                </c:pt>
              </c:numCache>
            </c:numRef>
          </c:val>
          <c:smooth val="0"/>
          <c:extLst>
            <c:ext xmlns:c16="http://schemas.microsoft.com/office/drawing/2014/chart" uri="{C3380CC4-5D6E-409C-BE32-E72D297353CC}">
              <c16:uniqueId val="{00000001-B7C7-4A1A-8593-40C59C21F832}"/>
            </c:ext>
          </c:extLst>
        </c:ser>
        <c:ser>
          <c:idx val="3"/>
          <c:order val="2"/>
          <c:tx>
            <c:strRef>
              <c:f>Variables_Graphs!$D$2</c:f>
              <c:strCache>
                <c:ptCount val="1"/>
                <c:pt idx="0">
                  <c:v>POLITICAL STABILITY INDEX</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Variables_Graphs!$D$87:$D$97</c:f>
              <c:numCache>
                <c:formatCode>General</c:formatCode>
                <c:ptCount val="11"/>
                <c:pt idx="0">
                  <c:v>0.56000000000000005</c:v>
                </c:pt>
                <c:pt idx="1">
                  <c:v>1.08</c:v>
                </c:pt>
                <c:pt idx="2">
                  <c:v>-0.24</c:v>
                </c:pt>
                <c:pt idx="3">
                  <c:v>0.16</c:v>
                </c:pt>
                <c:pt idx="4">
                  <c:v>0.24</c:v>
                </c:pt>
                <c:pt idx="5">
                  <c:v>-0.24</c:v>
                </c:pt>
                <c:pt idx="6">
                  <c:v>-0.2</c:v>
                </c:pt>
                <c:pt idx="7">
                  <c:v>-0.56000000000000005</c:v>
                </c:pt>
                <c:pt idx="8">
                  <c:v>0.28000000000000003</c:v>
                </c:pt>
              </c:numCache>
            </c:numRef>
          </c:val>
          <c:smooth val="0"/>
          <c:extLst>
            <c:ext xmlns:c16="http://schemas.microsoft.com/office/drawing/2014/chart" uri="{C3380CC4-5D6E-409C-BE32-E72D297353CC}">
              <c16:uniqueId val="{00000002-B7C7-4A1A-8593-40C59C21F832}"/>
            </c:ext>
          </c:extLst>
        </c:ser>
        <c:ser>
          <c:idx val="4"/>
          <c:order val="3"/>
          <c:tx>
            <c:strRef>
              <c:f>Variables_Graphs!$E$2</c:f>
              <c:strCache>
                <c:ptCount val="1"/>
                <c:pt idx="0">
                  <c:v>ACADEMIC FREEDOM INDEX</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Variables_Graphs!$E$87:$E$97</c:f>
              <c:numCache>
                <c:formatCode>General</c:formatCode>
                <c:ptCount val="11"/>
                <c:pt idx="0">
                  <c:v>6.4</c:v>
                </c:pt>
                <c:pt idx="1">
                  <c:v>6.3</c:v>
                </c:pt>
                <c:pt idx="2">
                  <c:v>6.4</c:v>
                </c:pt>
                <c:pt idx="3">
                  <c:v>6.4</c:v>
                </c:pt>
                <c:pt idx="4">
                  <c:v>6.4</c:v>
                </c:pt>
                <c:pt idx="5">
                  <c:v>6.8999999999999995</c:v>
                </c:pt>
                <c:pt idx="6">
                  <c:v>8</c:v>
                </c:pt>
                <c:pt idx="7">
                  <c:v>8.1999999999999993</c:v>
                </c:pt>
                <c:pt idx="8">
                  <c:v>8.1999999999999993</c:v>
                </c:pt>
                <c:pt idx="9">
                  <c:v>8.1999999999999993</c:v>
                </c:pt>
              </c:numCache>
            </c:numRef>
          </c:val>
          <c:smooth val="0"/>
          <c:extLst>
            <c:ext xmlns:c16="http://schemas.microsoft.com/office/drawing/2014/chart" uri="{C3380CC4-5D6E-409C-BE32-E72D297353CC}">
              <c16:uniqueId val="{00000003-B7C7-4A1A-8593-40C59C21F832}"/>
            </c:ext>
          </c:extLst>
        </c:ser>
        <c:ser>
          <c:idx val="5"/>
          <c:order val="4"/>
          <c:tx>
            <c:strRef>
              <c:f>Variables_Graphs!$F$2</c:f>
              <c:strCache>
                <c:ptCount val="1"/>
                <c:pt idx="0">
                  <c:v>ECONOMIC FREEDOM INDEX</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Variables_Graphs!$F$87:$F$97</c:f>
              <c:numCache>
                <c:formatCode>General</c:formatCode>
                <c:ptCount val="11"/>
                <c:pt idx="0">
                  <c:v>6.4700000000000006</c:v>
                </c:pt>
                <c:pt idx="1">
                  <c:v>6.49</c:v>
                </c:pt>
                <c:pt idx="2">
                  <c:v>6.2</c:v>
                </c:pt>
                <c:pt idx="3">
                  <c:v>6.43</c:v>
                </c:pt>
                <c:pt idx="4">
                  <c:v>6.05</c:v>
                </c:pt>
                <c:pt idx="5">
                  <c:v>6.15</c:v>
                </c:pt>
                <c:pt idx="6">
                  <c:v>6.34</c:v>
                </c:pt>
                <c:pt idx="7">
                  <c:v>5.7799999999999994</c:v>
                </c:pt>
                <c:pt idx="8">
                  <c:v>6.09</c:v>
                </c:pt>
                <c:pt idx="9">
                  <c:v>5.9700000000000006</c:v>
                </c:pt>
                <c:pt idx="10">
                  <c:v>6.38</c:v>
                </c:pt>
              </c:numCache>
            </c:numRef>
          </c:val>
          <c:smooth val="0"/>
          <c:extLst>
            <c:ext xmlns:c16="http://schemas.microsoft.com/office/drawing/2014/chart" uri="{C3380CC4-5D6E-409C-BE32-E72D297353CC}">
              <c16:uniqueId val="{00000004-B7C7-4A1A-8593-40C59C21F832}"/>
            </c:ext>
          </c:extLst>
        </c:ser>
        <c:ser>
          <c:idx val="8"/>
          <c:order val="5"/>
          <c:tx>
            <c:strRef>
              <c:f>Variables_Graphs!$I$2</c:f>
              <c:strCache>
                <c:ptCount val="1"/>
                <c:pt idx="0">
                  <c:v>LIBERAL DEMOCRACY INDEX</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Variables_Graphs!$I$87:$I$97</c:f>
              <c:numCache>
                <c:formatCode>General</c:formatCode>
                <c:ptCount val="11"/>
                <c:pt idx="0">
                  <c:v>3.75</c:v>
                </c:pt>
                <c:pt idx="1">
                  <c:v>3.69</c:v>
                </c:pt>
                <c:pt idx="2">
                  <c:v>3.59</c:v>
                </c:pt>
                <c:pt idx="3">
                  <c:v>3.5999999999999996</c:v>
                </c:pt>
                <c:pt idx="4">
                  <c:v>3.59</c:v>
                </c:pt>
                <c:pt idx="5">
                  <c:v>3.7800000000000002</c:v>
                </c:pt>
                <c:pt idx="6">
                  <c:v>4.17</c:v>
                </c:pt>
                <c:pt idx="7">
                  <c:v>4.1499999999999995</c:v>
                </c:pt>
                <c:pt idx="8">
                  <c:v>4.71</c:v>
                </c:pt>
                <c:pt idx="9">
                  <c:v>4.7799999999999994</c:v>
                </c:pt>
              </c:numCache>
            </c:numRef>
          </c:val>
          <c:smooth val="0"/>
          <c:extLst>
            <c:ext xmlns:c16="http://schemas.microsoft.com/office/drawing/2014/chart" uri="{C3380CC4-5D6E-409C-BE32-E72D297353CC}">
              <c16:uniqueId val="{00000005-B7C7-4A1A-8593-40C59C21F832}"/>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618699631"/>
        <c:axId val="618700111"/>
        <c:extLst/>
      </c:lineChart>
      <c:catAx>
        <c:axId val="618699631"/>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crossAx val="618700111"/>
        <c:crosses val="autoZero"/>
        <c:auto val="1"/>
        <c:lblAlgn val="ctr"/>
        <c:lblOffset val="100"/>
        <c:noMultiLvlLbl val="0"/>
      </c:catAx>
      <c:valAx>
        <c:axId val="61870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crossAx val="618699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l-SI"/>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l-SI" sz="1300" b="1">
                <a:solidFill>
                  <a:sysClr val="windowText" lastClr="000000"/>
                </a:solidFill>
              </a:rPr>
              <a:t>Normalized Index</a:t>
            </a:r>
            <a:r>
              <a:rPr lang="sl-SI" sz="1300" b="1" baseline="0">
                <a:solidFill>
                  <a:sysClr val="windowText" lastClr="000000"/>
                </a:solidFill>
              </a:rPr>
              <a:t> values for Albania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l-SI"/>
        </a:p>
      </c:txPr>
    </c:title>
    <c:autoTitleDeleted val="0"/>
    <c:plotArea>
      <c:layout/>
      <c:lineChart>
        <c:grouping val="standard"/>
        <c:varyColors val="0"/>
        <c:ser>
          <c:idx val="1"/>
          <c:order val="0"/>
          <c:tx>
            <c:strRef>
              <c:f>Variables_Graphs!$B$2</c:f>
              <c:strCache>
                <c:ptCount val="1"/>
                <c:pt idx="0">
                  <c:v>HUMAN FREEDOM INDEX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Variables_Graphs!$B$101:$B$111</c:f>
              <c:numCache>
                <c:formatCode>General</c:formatCode>
                <c:ptCount val="11"/>
                <c:pt idx="0">
                  <c:v>7.99</c:v>
                </c:pt>
                <c:pt idx="1">
                  <c:v>8.01</c:v>
                </c:pt>
                <c:pt idx="2">
                  <c:v>8.0399999999999991</c:v>
                </c:pt>
                <c:pt idx="3">
                  <c:v>8.0299999999999994</c:v>
                </c:pt>
                <c:pt idx="4">
                  <c:v>8.0299999999999994</c:v>
                </c:pt>
                <c:pt idx="5">
                  <c:v>7.66</c:v>
                </c:pt>
                <c:pt idx="6">
                  <c:v>7.67</c:v>
                </c:pt>
                <c:pt idx="7">
                  <c:v>7.92</c:v>
                </c:pt>
                <c:pt idx="8">
                  <c:v>7.67</c:v>
                </c:pt>
                <c:pt idx="9">
                  <c:v>7.92</c:v>
                </c:pt>
              </c:numCache>
            </c:numRef>
          </c:val>
          <c:smooth val="0"/>
          <c:extLst>
            <c:ext xmlns:c16="http://schemas.microsoft.com/office/drawing/2014/chart" uri="{C3380CC4-5D6E-409C-BE32-E72D297353CC}">
              <c16:uniqueId val="{00000000-6C8B-459D-A85D-97FF7F67DA74}"/>
            </c:ext>
          </c:extLst>
        </c:ser>
        <c:ser>
          <c:idx val="2"/>
          <c:order val="1"/>
          <c:tx>
            <c:strRef>
              <c:f>Variables_Graphs!$C$2</c:f>
              <c:strCache>
                <c:ptCount val="1"/>
                <c:pt idx="0">
                  <c:v>CIVIL SOCIETY PARTICIPATION INDEX</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Variables_Graphs!$C$101:$C$111</c:f>
              <c:numCache>
                <c:formatCode>General</c:formatCode>
                <c:ptCount val="11"/>
                <c:pt idx="0">
                  <c:v>6.1</c:v>
                </c:pt>
                <c:pt idx="1">
                  <c:v>6.2</c:v>
                </c:pt>
                <c:pt idx="2">
                  <c:v>6.2</c:v>
                </c:pt>
                <c:pt idx="3">
                  <c:v>6.1</c:v>
                </c:pt>
                <c:pt idx="4">
                  <c:v>6.4</c:v>
                </c:pt>
                <c:pt idx="5">
                  <c:v>7</c:v>
                </c:pt>
                <c:pt idx="6">
                  <c:v>7</c:v>
                </c:pt>
                <c:pt idx="7">
                  <c:v>6.8000000000000007</c:v>
                </c:pt>
                <c:pt idx="8">
                  <c:v>7</c:v>
                </c:pt>
                <c:pt idx="9">
                  <c:v>6.4</c:v>
                </c:pt>
              </c:numCache>
            </c:numRef>
          </c:val>
          <c:smooth val="0"/>
          <c:extLst>
            <c:ext xmlns:c16="http://schemas.microsoft.com/office/drawing/2014/chart" uri="{C3380CC4-5D6E-409C-BE32-E72D297353CC}">
              <c16:uniqueId val="{00000001-6C8B-459D-A85D-97FF7F67DA74}"/>
            </c:ext>
          </c:extLst>
        </c:ser>
        <c:ser>
          <c:idx val="3"/>
          <c:order val="2"/>
          <c:tx>
            <c:strRef>
              <c:f>Variables_Graphs!$D$2</c:f>
              <c:strCache>
                <c:ptCount val="1"/>
                <c:pt idx="0">
                  <c:v>POLITICAL STABILITY INDEX</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Variables_Graphs!$D$101:$D$111</c:f>
              <c:numCache>
                <c:formatCode>General</c:formatCode>
                <c:ptCount val="11"/>
                <c:pt idx="0">
                  <c:v>1.36</c:v>
                </c:pt>
                <c:pt idx="1">
                  <c:v>1.36</c:v>
                </c:pt>
                <c:pt idx="2">
                  <c:v>1.48</c:v>
                </c:pt>
                <c:pt idx="3">
                  <c:v>1.48</c:v>
                </c:pt>
                <c:pt idx="4">
                  <c:v>0.43999999999999995</c:v>
                </c:pt>
                <c:pt idx="5">
                  <c:v>0.36</c:v>
                </c:pt>
                <c:pt idx="6">
                  <c:v>0.8</c:v>
                </c:pt>
                <c:pt idx="7">
                  <c:v>0.43999999999999995</c:v>
                </c:pt>
                <c:pt idx="8">
                  <c:v>0.72</c:v>
                </c:pt>
              </c:numCache>
            </c:numRef>
          </c:val>
          <c:smooth val="0"/>
          <c:extLst>
            <c:ext xmlns:c16="http://schemas.microsoft.com/office/drawing/2014/chart" uri="{C3380CC4-5D6E-409C-BE32-E72D297353CC}">
              <c16:uniqueId val="{00000002-6C8B-459D-A85D-97FF7F67DA74}"/>
            </c:ext>
          </c:extLst>
        </c:ser>
        <c:ser>
          <c:idx val="4"/>
          <c:order val="3"/>
          <c:tx>
            <c:strRef>
              <c:f>Variables_Graphs!$E$2</c:f>
              <c:strCache>
                <c:ptCount val="1"/>
                <c:pt idx="0">
                  <c:v>ACADEMIC FREEDOM INDEX</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Variables_Graphs!$E$101:$E$111</c:f>
              <c:numCache>
                <c:formatCode>General</c:formatCode>
                <c:ptCount val="11"/>
                <c:pt idx="0">
                  <c:v>8.6</c:v>
                </c:pt>
                <c:pt idx="1">
                  <c:v>8.6</c:v>
                </c:pt>
                <c:pt idx="2">
                  <c:v>8.6</c:v>
                </c:pt>
                <c:pt idx="3">
                  <c:v>8.6</c:v>
                </c:pt>
                <c:pt idx="4">
                  <c:v>8.5</c:v>
                </c:pt>
                <c:pt idx="5">
                  <c:v>8.1999999999999993</c:v>
                </c:pt>
                <c:pt idx="6">
                  <c:v>8.1999999999999993</c:v>
                </c:pt>
                <c:pt idx="7">
                  <c:v>8.1999999999999993</c:v>
                </c:pt>
                <c:pt idx="8">
                  <c:v>6.8000000000000007</c:v>
                </c:pt>
                <c:pt idx="9">
                  <c:v>7.8</c:v>
                </c:pt>
              </c:numCache>
            </c:numRef>
          </c:val>
          <c:smooth val="0"/>
          <c:extLst>
            <c:ext xmlns:c16="http://schemas.microsoft.com/office/drawing/2014/chart" uri="{C3380CC4-5D6E-409C-BE32-E72D297353CC}">
              <c16:uniqueId val="{00000003-6C8B-459D-A85D-97FF7F67DA74}"/>
            </c:ext>
          </c:extLst>
        </c:ser>
        <c:ser>
          <c:idx val="5"/>
          <c:order val="4"/>
          <c:tx>
            <c:strRef>
              <c:f>Variables_Graphs!$F$2</c:f>
              <c:strCache>
                <c:ptCount val="1"/>
                <c:pt idx="0">
                  <c:v>ECONOMIC FREEDOM INDEX</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Variables_Graphs!$F$101:$F$111</c:f>
              <c:numCache>
                <c:formatCode>General</c:formatCode>
                <c:ptCount val="11"/>
                <c:pt idx="0">
                  <c:v>6.57</c:v>
                </c:pt>
                <c:pt idx="1">
                  <c:v>6.5900000000000007</c:v>
                </c:pt>
                <c:pt idx="2">
                  <c:v>6.44</c:v>
                </c:pt>
                <c:pt idx="3">
                  <c:v>6.45</c:v>
                </c:pt>
                <c:pt idx="4">
                  <c:v>6.65</c:v>
                </c:pt>
                <c:pt idx="5">
                  <c:v>6.69</c:v>
                </c:pt>
                <c:pt idx="6">
                  <c:v>6.5200000000000005</c:v>
                </c:pt>
                <c:pt idx="7">
                  <c:v>6.6599999999999993</c:v>
                </c:pt>
                <c:pt idx="8">
                  <c:v>6.5299999999999994</c:v>
                </c:pt>
                <c:pt idx="9">
                  <c:v>6.4799999999999995</c:v>
                </c:pt>
                <c:pt idx="10">
                  <c:v>6.6599999999999993</c:v>
                </c:pt>
              </c:numCache>
            </c:numRef>
          </c:val>
          <c:smooth val="0"/>
          <c:extLst>
            <c:ext xmlns:c16="http://schemas.microsoft.com/office/drawing/2014/chart" uri="{C3380CC4-5D6E-409C-BE32-E72D297353CC}">
              <c16:uniqueId val="{00000004-6C8B-459D-A85D-97FF7F67DA74}"/>
            </c:ext>
          </c:extLst>
        </c:ser>
        <c:ser>
          <c:idx val="8"/>
          <c:order val="5"/>
          <c:tx>
            <c:strRef>
              <c:f>Variables_Graphs!$I$2</c:f>
              <c:strCache>
                <c:ptCount val="1"/>
                <c:pt idx="0">
                  <c:v>LIBERAL DEMOCRACY INDEX</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Variables_Graphs!$I$101:$I$111</c:f>
              <c:numCache>
                <c:formatCode>General</c:formatCode>
                <c:ptCount val="11"/>
                <c:pt idx="0">
                  <c:v>4.42</c:v>
                </c:pt>
                <c:pt idx="1">
                  <c:v>4.41</c:v>
                </c:pt>
                <c:pt idx="2">
                  <c:v>4.4000000000000004</c:v>
                </c:pt>
                <c:pt idx="3">
                  <c:v>4.32</c:v>
                </c:pt>
                <c:pt idx="4">
                  <c:v>4.24</c:v>
                </c:pt>
                <c:pt idx="5">
                  <c:v>4.4000000000000004</c:v>
                </c:pt>
                <c:pt idx="6">
                  <c:v>4.38</c:v>
                </c:pt>
                <c:pt idx="7">
                  <c:v>4.33</c:v>
                </c:pt>
                <c:pt idx="8">
                  <c:v>3.9800000000000004</c:v>
                </c:pt>
                <c:pt idx="9">
                  <c:v>3.96</c:v>
                </c:pt>
              </c:numCache>
            </c:numRef>
          </c:val>
          <c:smooth val="0"/>
          <c:extLst>
            <c:ext xmlns:c16="http://schemas.microsoft.com/office/drawing/2014/chart" uri="{C3380CC4-5D6E-409C-BE32-E72D297353CC}">
              <c16:uniqueId val="{00000005-6C8B-459D-A85D-97FF7F67DA74}"/>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618699631"/>
        <c:axId val="618700111"/>
        <c:extLst/>
      </c:lineChart>
      <c:catAx>
        <c:axId val="618699631"/>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crossAx val="618700111"/>
        <c:crosses val="autoZero"/>
        <c:auto val="1"/>
        <c:lblAlgn val="ctr"/>
        <c:lblOffset val="100"/>
        <c:noMultiLvlLbl val="0"/>
      </c:catAx>
      <c:valAx>
        <c:axId val="618700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crossAx val="618699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l-SI"/>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sl-SI" sz="1300" b="1">
                <a:solidFill>
                  <a:sysClr val="windowText" lastClr="000000"/>
                </a:solidFill>
              </a:rPr>
              <a:t>Bosnia and Herzegovina policy rating</a:t>
            </a:r>
            <a:endParaRPr lang="en-US" sz="1300" b="1">
              <a:solidFill>
                <a:sysClr val="windowText" lastClr="000000"/>
              </a:solidFill>
            </a:endParaRPr>
          </a:p>
        </c:rich>
      </c:tx>
      <c:overlay val="0"/>
      <c:spPr>
        <a:noFill/>
        <a:ln>
          <a:noFill/>
        </a:ln>
        <a:effectLst/>
      </c:spPr>
    </c:title>
    <c:autoTitleDeleted val="0"/>
    <c:plotArea>
      <c:layout/>
      <c:lineChart>
        <c:grouping val="standard"/>
        <c:varyColors val="0"/>
        <c:ser>
          <c:idx val="0"/>
          <c:order val="0"/>
          <c:tx>
            <c:strRef>
              <c:f>Bosnia_and_Herzegovina_Rating!$C$4</c:f>
              <c:strCache>
                <c:ptCount val="1"/>
                <c:pt idx="0">
                  <c:v>Rating Value</c:v>
                </c:pt>
              </c:strCache>
            </c:strRef>
          </c:tx>
          <c:marker>
            <c:symbol val="none"/>
          </c:marker>
          <c:dLbls>
            <c:spPr>
              <a:gradFill>
                <a:gsLst>
                  <a:gs pos="100000">
                    <a:schemeClr val="lt1">
                      <a:lumMod val="95000"/>
                    </a:schemeClr>
                  </a:gs>
                  <a:gs pos="0">
                    <a:schemeClr val="lt1"/>
                  </a:gs>
                </a:gsLst>
                <a:lin ang="5400000" scaled="0"/>
              </a:gradFill>
              <a:ln>
                <a:noFill/>
              </a:ln>
              <a:effectLst/>
            </c:spPr>
            <c:txPr>
              <a:bodyPr rot="0" spcFirstLastPara="1" vertOverflow="ellipsis" vert="horz" wrap="square" lIns="0" tIns="36000" rIns="0" bIns="0" anchor="t"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sl-SI"/>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dk1">
                          <a:lumMod val="35000"/>
                          <a:lumOff val="65000"/>
                        </a:schemeClr>
                      </a:solidFill>
                    </a:ln>
                    <a:effectLst/>
                  </c:spPr>
                </c15:leaderLines>
              </c:ext>
            </c:extLst>
          </c:dLbls>
          <c:cat>
            <c:numRef>
              <c:f>Slovenia_Rating!$A$2:$A$12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Bosnia_and_Herzegovina_Rating!$C$5:$C$15</c:f>
              <c:numCache>
                <c:formatCode>General</c:formatCode>
                <c:ptCount val="11"/>
                <c:pt idx="0">
                  <c:v>4</c:v>
                </c:pt>
                <c:pt idx="1">
                  <c:v>8.9600000000000009</c:v>
                </c:pt>
                <c:pt idx="2">
                  <c:v>10.940000000000001</c:v>
                </c:pt>
                <c:pt idx="3">
                  <c:v>6.9400000000000013</c:v>
                </c:pt>
                <c:pt idx="4">
                  <c:v>6.9400000000000013</c:v>
                </c:pt>
                <c:pt idx="5">
                  <c:v>4.6000000000000014</c:v>
                </c:pt>
                <c:pt idx="6">
                  <c:v>2.2600000000000016</c:v>
                </c:pt>
                <c:pt idx="7">
                  <c:v>0.26000000000000156</c:v>
                </c:pt>
                <c:pt idx="8">
                  <c:v>1.5800000000000016</c:v>
                </c:pt>
                <c:pt idx="9">
                  <c:v>2.9000000000000017</c:v>
                </c:pt>
                <c:pt idx="10">
                  <c:v>2.9000000000000017</c:v>
                </c:pt>
              </c:numCache>
            </c:numRef>
          </c:val>
          <c:smooth val="0"/>
          <c:extLst>
            <c:ext xmlns:c16="http://schemas.microsoft.com/office/drawing/2014/chart" uri="{C3380CC4-5D6E-409C-BE32-E72D297353CC}">
              <c16:uniqueId val="{00000000-E00F-4793-869D-31FADC70E387}"/>
            </c:ext>
          </c:extLst>
        </c:ser>
        <c:dLbls>
          <c:dLblPos val="t"/>
          <c:showLegendKey val="0"/>
          <c:showVal val="1"/>
          <c:showCatName val="0"/>
          <c:showSerName val="0"/>
          <c:showPercent val="0"/>
          <c:showBubbleSize val="0"/>
        </c:dLbls>
        <c:smooth val="0"/>
        <c:axId val="1560804848"/>
        <c:axId val="1560806768"/>
      </c:lineChart>
      <c:catAx>
        <c:axId val="1560804848"/>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6768"/>
        <c:crosses val="autoZero"/>
        <c:auto val="1"/>
        <c:lblAlgn val="ctr"/>
        <c:lblOffset val="0"/>
        <c:noMultiLvlLbl val="0"/>
      </c:catAx>
      <c:valAx>
        <c:axId val="1560806768"/>
        <c:scaling>
          <c:orientation val="minMax"/>
          <c:min val="-5"/>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484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sl-SI"/>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sl-SI" sz="1300" b="1">
                <a:solidFill>
                  <a:sysClr val="windowText" lastClr="000000"/>
                </a:solidFill>
              </a:rPr>
              <a:t>Serbia policy rating</a:t>
            </a:r>
            <a:endParaRPr lang="en-US" sz="1300" b="1">
              <a:solidFill>
                <a:sysClr val="windowText" lastClr="000000"/>
              </a:solidFill>
            </a:endParaRPr>
          </a:p>
        </c:rich>
      </c:tx>
      <c:overlay val="0"/>
      <c:spPr>
        <a:noFill/>
        <a:ln>
          <a:noFill/>
        </a:ln>
        <a:effectLst/>
      </c:spPr>
    </c:title>
    <c:autoTitleDeleted val="0"/>
    <c:plotArea>
      <c:layout/>
      <c:lineChart>
        <c:grouping val="standard"/>
        <c:varyColors val="0"/>
        <c:ser>
          <c:idx val="0"/>
          <c:order val="0"/>
          <c:tx>
            <c:strRef>
              <c:f>Serbia_Rating!$C$1</c:f>
              <c:strCache>
                <c:ptCount val="1"/>
                <c:pt idx="0">
                  <c:v>Rating Value</c:v>
                </c:pt>
              </c:strCache>
            </c:strRef>
          </c:tx>
          <c:marker>
            <c:symbol val="none"/>
          </c:marker>
          <c:dLbls>
            <c:spPr>
              <a:gradFill>
                <a:gsLst>
                  <a:gs pos="100000">
                    <a:schemeClr val="lt1">
                      <a:lumMod val="95000"/>
                    </a:schemeClr>
                  </a:gs>
                  <a:gs pos="0">
                    <a:schemeClr val="lt1"/>
                  </a:gs>
                </a:gsLst>
                <a:lin ang="5400000" scaled="0"/>
              </a:gradFill>
              <a:ln>
                <a:noFill/>
              </a:ln>
              <a:effectLst/>
            </c:spPr>
            <c:txPr>
              <a:bodyPr rot="0" spcFirstLastPara="1" vertOverflow="ellipsis" vert="horz" wrap="square" lIns="0" tIns="0" rIns="0" bIns="0" anchor="t"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sl-SI"/>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dk1">
                          <a:lumMod val="35000"/>
                          <a:lumOff val="65000"/>
                        </a:schemeClr>
                      </a:solidFill>
                    </a:ln>
                    <a:effectLst/>
                  </c:spPr>
                </c15:leaderLines>
              </c:ext>
            </c:extLst>
          </c:dLbls>
          <c:cat>
            <c:numRef>
              <c:f>Slovenia_Rating!$A$2:$A$12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Serbia_Rating!$C$2:$C$12</c:f>
              <c:numCache>
                <c:formatCode>General</c:formatCode>
                <c:ptCount val="11"/>
                <c:pt idx="0">
                  <c:v>0</c:v>
                </c:pt>
                <c:pt idx="1">
                  <c:v>0</c:v>
                </c:pt>
                <c:pt idx="2">
                  <c:v>0</c:v>
                </c:pt>
                <c:pt idx="3">
                  <c:v>7.2900000000000009</c:v>
                </c:pt>
                <c:pt idx="4">
                  <c:v>7.2900000000000009</c:v>
                </c:pt>
                <c:pt idx="5">
                  <c:v>6.9600000000000009</c:v>
                </c:pt>
                <c:pt idx="6">
                  <c:v>6.9600000000000009</c:v>
                </c:pt>
                <c:pt idx="7">
                  <c:v>6.9600000000000009</c:v>
                </c:pt>
                <c:pt idx="8">
                  <c:v>6.6000000000000014</c:v>
                </c:pt>
                <c:pt idx="9">
                  <c:v>7.8800000000000017</c:v>
                </c:pt>
                <c:pt idx="10">
                  <c:v>6.5600000000000014</c:v>
                </c:pt>
              </c:numCache>
            </c:numRef>
          </c:val>
          <c:smooth val="0"/>
          <c:extLst>
            <c:ext xmlns:c16="http://schemas.microsoft.com/office/drawing/2014/chart" uri="{C3380CC4-5D6E-409C-BE32-E72D297353CC}">
              <c16:uniqueId val="{00000000-B65B-4F1B-8D4A-86985161BDF7}"/>
            </c:ext>
          </c:extLst>
        </c:ser>
        <c:dLbls>
          <c:dLblPos val="t"/>
          <c:showLegendKey val="0"/>
          <c:showVal val="1"/>
          <c:showCatName val="0"/>
          <c:showSerName val="0"/>
          <c:showPercent val="0"/>
          <c:showBubbleSize val="0"/>
        </c:dLbls>
        <c:smooth val="0"/>
        <c:axId val="1560804848"/>
        <c:axId val="1560806768"/>
      </c:lineChart>
      <c:catAx>
        <c:axId val="1560804848"/>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6768"/>
        <c:crosses val="autoZero"/>
        <c:auto val="1"/>
        <c:lblAlgn val="ctr"/>
        <c:lblOffset val="0"/>
        <c:noMultiLvlLbl val="0"/>
      </c:catAx>
      <c:valAx>
        <c:axId val="1560806768"/>
        <c:scaling>
          <c:orientation val="minMax"/>
          <c:min val="-5"/>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484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sl-SI"/>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sl-SI" sz="1300" b="1">
                <a:solidFill>
                  <a:sysClr val="windowText" lastClr="000000"/>
                </a:solidFill>
              </a:rPr>
              <a:t>North Macedonia policy rating</a:t>
            </a:r>
            <a:endParaRPr lang="en-US" sz="1300" b="1">
              <a:solidFill>
                <a:sysClr val="windowText" lastClr="000000"/>
              </a:solidFill>
            </a:endParaRPr>
          </a:p>
        </c:rich>
      </c:tx>
      <c:overlay val="0"/>
      <c:spPr>
        <a:noFill/>
        <a:ln>
          <a:noFill/>
        </a:ln>
        <a:effectLst/>
      </c:spPr>
    </c:title>
    <c:autoTitleDeleted val="0"/>
    <c:plotArea>
      <c:layout/>
      <c:lineChart>
        <c:grouping val="standard"/>
        <c:varyColors val="0"/>
        <c:ser>
          <c:idx val="0"/>
          <c:order val="0"/>
          <c:tx>
            <c:strRef>
              <c:f>North_Macedonia_Rating!$C$1</c:f>
              <c:strCache>
                <c:ptCount val="1"/>
                <c:pt idx="0">
                  <c:v>Rating Value</c:v>
                </c:pt>
              </c:strCache>
            </c:strRef>
          </c:tx>
          <c:marker>
            <c:symbol val="none"/>
          </c:marker>
          <c:dLbls>
            <c:spPr>
              <a:gradFill>
                <a:gsLst>
                  <a:gs pos="100000">
                    <a:schemeClr val="lt1">
                      <a:lumMod val="95000"/>
                    </a:schemeClr>
                  </a:gs>
                  <a:gs pos="0">
                    <a:schemeClr val="lt1"/>
                  </a:gs>
                </a:gsLst>
                <a:lin ang="5400000" scaled="0"/>
              </a:gradFill>
              <a:ln>
                <a:noFill/>
              </a:ln>
              <a:effectLst/>
            </c:spPr>
            <c:txPr>
              <a:bodyPr rot="0" spcFirstLastPara="1" vertOverflow="ellipsis" vert="horz" wrap="square" lIns="0" tIns="0" rIns="0" bIns="0" anchor="t"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sl-SI"/>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dk1">
                          <a:lumMod val="35000"/>
                          <a:lumOff val="65000"/>
                        </a:schemeClr>
                      </a:solidFill>
                    </a:ln>
                    <a:effectLst/>
                  </c:spPr>
                </c15:leaderLines>
              </c:ext>
            </c:extLst>
          </c:dLbls>
          <c:cat>
            <c:numRef>
              <c:f>Slovenia_Rating!$A$2:$A$12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North_Macedonia_Rating!$C$2:$C$12</c:f>
              <c:numCache>
                <c:formatCode>General</c:formatCode>
                <c:ptCount val="11"/>
                <c:pt idx="0">
                  <c:v>-2</c:v>
                </c:pt>
                <c:pt idx="1">
                  <c:v>-2</c:v>
                </c:pt>
                <c:pt idx="2">
                  <c:v>-2</c:v>
                </c:pt>
                <c:pt idx="3">
                  <c:v>1</c:v>
                </c:pt>
                <c:pt idx="4">
                  <c:v>1</c:v>
                </c:pt>
                <c:pt idx="5">
                  <c:v>-0.32000000000000006</c:v>
                </c:pt>
                <c:pt idx="6">
                  <c:v>-0.32000000000000006</c:v>
                </c:pt>
                <c:pt idx="7">
                  <c:v>5.62</c:v>
                </c:pt>
                <c:pt idx="8">
                  <c:v>7.6</c:v>
                </c:pt>
                <c:pt idx="9">
                  <c:v>7.6</c:v>
                </c:pt>
                <c:pt idx="10">
                  <c:v>7.6</c:v>
                </c:pt>
              </c:numCache>
            </c:numRef>
          </c:val>
          <c:smooth val="0"/>
          <c:extLst>
            <c:ext xmlns:c16="http://schemas.microsoft.com/office/drawing/2014/chart" uri="{C3380CC4-5D6E-409C-BE32-E72D297353CC}">
              <c16:uniqueId val="{00000000-ED31-400A-A53B-48BAD5C1376E}"/>
            </c:ext>
          </c:extLst>
        </c:ser>
        <c:dLbls>
          <c:dLblPos val="t"/>
          <c:showLegendKey val="0"/>
          <c:showVal val="1"/>
          <c:showCatName val="0"/>
          <c:showSerName val="0"/>
          <c:showPercent val="0"/>
          <c:showBubbleSize val="0"/>
        </c:dLbls>
        <c:smooth val="0"/>
        <c:axId val="1560804848"/>
        <c:axId val="1560806768"/>
      </c:lineChart>
      <c:catAx>
        <c:axId val="1560804848"/>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6768"/>
        <c:crosses val="autoZero"/>
        <c:auto val="1"/>
        <c:lblAlgn val="ctr"/>
        <c:lblOffset val="0"/>
        <c:noMultiLvlLbl val="0"/>
      </c:catAx>
      <c:valAx>
        <c:axId val="1560806768"/>
        <c:scaling>
          <c:orientation val="minMax"/>
          <c:min val="-5"/>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484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sl-SI"/>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sl-SI" sz="1300" b="1">
                <a:solidFill>
                  <a:sysClr val="windowText" lastClr="000000"/>
                </a:solidFill>
              </a:rPr>
              <a:t>Hungary</a:t>
            </a:r>
            <a:r>
              <a:rPr lang="sl-SI" sz="1300" b="1" baseline="0">
                <a:solidFill>
                  <a:sysClr val="windowText" lastClr="000000"/>
                </a:solidFill>
              </a:rPr>
              <a:t> </a:t>
            </a:r>
            <a:r>
              <a:rPr lang="sl-SI" sz="1300" b="1">
                <a:solidFill>
                  <a:sysClr val="windowText" lastClr="000000"/>
                </a:solidFill>
              </a:rPr>
              <a:t>policy rating</a:t>
            </a:r>
            <a:endParaRPr lang="en-US" sz="1300" b="1">
              <a:solidFill>
                <a:sysClr val="windowText" lastClr="000000"/>
              </a:solidFill>
            </a:endParaRPr>
          </a:p>
        </c:rich>
      </c:tx>
      <c:overlay val="0"/>
      <c:spPr>
        <a:noFill/>
        <a:ln>
          <a:noFill/>
        </a:ln>
        <a:effectLst/>
      </c:spPr>
    </c:title>
    <c:autoTitleDeleted val="0"/>
    <c:plotArea>
      <c:layout/>
      <c:lineChart>
        <c:grouping val="standard"/>
        <c:varyColors val="0"/>
        <c:ser>
          <c:idx val="0"/>
          <c:order val="0"/>
          <c:tx>
            <c:strRef>
              <c:f>Hungary_Rating!$C$1</c:f>
              <c:strCache>
                <c:ptCount val="1"/>
                <c:pt idx="0">
                  <c:v>Rating Value</c:v>
                </c:pt>
              </c:strCache>
            </c:strRef>
          </c:tx>
          <c:marker>
            <c:symbol val="none"/>
          </c:marker>
          <c:dLbls>
            <c:spPr>
              <a:gradFill>
                <a:gsLst>
                  <a:gs pos="100000">
                    <a:schemeClr val="lt1">
                      <a:lumMod val="95000"/>
                    </a:schemeClr>
                  </a:gs>
                  <a:gs pos="0">
                    <a:schemeClr val="lt1"/>
                  </a:gs>
                </a:gsLst>
                <a:lin ang="5400000" scaled="0"/>
              </a:gradFill>
              <a:ln>
                <a:noFill/>
              </a:ln>
              <a:effectLst/>
            </c:spPr>
            <c:txPr>
              <a:bodyPr rot="0" spcFirstLastPara="1" vertOverflow="ellipsis" vert="horz" wrap="square" lIns="0" tIns="0" rIns="0" bIns="0" anchor="t"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sl-SI"/>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dk1">
                          <a:lumMod val="35000"/>
                          <a:lumOff val="65000"/>
                        </a:schemeClr>
                      </a:solidFill>
                    </a:ln>
                    <a:effectLst/>
                  </c:spPr>
                </c15:leaderLines>
              </c:ext>
            </c:extLst>
          </c:dLbls>
          <c:cat>
            <c:numRef>
              <c:f>Slovenia_Rating!$A$2:$A$12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Hungary_Rating!$C$2:$C$12</c:f>
              <c:numCache>
                <c:formatCode>General</c:formatCode>
                <c:ptCount val="11"/>
                <c:pt idx="0">
                  <c:v>-7</c:v>
                </c:pt>
                <c:pt idx="1">
                  <c:v>-12.32</c:v>
                </c:pt>
                <c:pt idx="2">
                  <c:v>-14.32</c:v>
                </c:pt>
                <c:pt idx="3">
                  <c:v>-14.98</c:v>
                </c:pt>
                <c:pt idx="4">
                  <c:v>-14.98</c:v>
                </c:pt>
                <c:pt idx="5">
                  <c:v>-16.96</c:v>
                </c:pt>
                <c:pt idx="6">
                  <c:v>-19.96</c:v>
                </c:pt>
                <c:pt idx="7">
                  <c:v>-19.96</c:v>
                </c:pt>
                <c:pt idx="8">
                  <c:v>-19.96</c:v>
                </c:pt>
                <c:pt idx="9">
                  <c:v>-19.96</c:v>
                </c:pt>
                <c:pt idx="10">
                  <c:v>-22.6</c:v>
                </c:pt>
              </c:numCache>
            </c:numRef>
          </c:val>
          <c:smooth val="0"/>
          <c:extLst>
            <c:ext xmlns:c16="http://schemas.microsoft.com/office/drawing/2014/chart" uri="{C3380CC4-5D6E-409C-BE32-E72D297353CC}">
              <c16:uniqueId val="{00000000-6A87-4D3D-BC12-B2A059372A6F}"/>
            </c:ext>
          </c:extLst>
        </c:ser>
        <c:dLbls>
          <c:dLblPos val="t"/>
          <c:showLegendKey val="0"/>
          <c:showVal val="1"/>
          <c:showCatName val="0"/>
          <c:showSerName val="0"/>
          <c:showPercent val="0"/>
          <c:showBubbleSize val="0"/>
        </c:dLbls>
        <c:smooth val="0"/>
        <c:axId val="1560804848"/>
        <c:axId val="1560806768"/>
      </c:lineChart>
      <c:catAx>
        <c:axId val="1560804848"/>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6768"/>
        <c:crosses val="autoZero"/>
        <c:auto val="1"/>
        <c:lblAlgn val="ctr"/>
        <c:lblOffset val="0"/>
        <c:noMultiLvlLbl val="0"/>
      </c:catAx>
      <c:valAx>
        <c:axId val="1560806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484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sl-SI"/>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sl-SI" sz="1300" b="1">
                <a:solidFill>
                  <a:sysClr val="windowText" lastClr="000000"/>
                </a:solidFill>
              </a:rPr>
              <a:t>Montenegro policy rating</a:t>
            </a:r>
            <a:endParaRPr lang="en-US" sz="1300" b="1">
              <a:solidFill>
                <a:sysClr val="windowText" lastClr="000000"/>
              </a:solidFill>
            </a:endParaRPr>
          </a:p>
        </c:rich>
      </c:tx>
      <c:overlay val="0"/>
      <c:spPr>
        <a:noFill/>
        <a:ln>
          <a:noFill/>
        </a:ln>
        <a:effectLst/>
      </c:spPr>
    </c:title>
    <c:autoTitleDeleted val="0"/>
    <c:plotArea>
      <c:layout/>
      <c:lineChart>
        <c:grouping val="standard"/>
        <c:varyColors val="0"/>
        <c:ser>
          <c:idx val="0"/>
          <c:order val="0"/>
          <c:tx>
            <c:strRef>
              <c:f>Montenegro_Rating!$C$1</c:f>
              <c:strCache>
                <c:ptCount val="1"/>
                <c:pt idx="0">
                  <c:v>Rating Value</c:v>
                </c:pt>
              </c:strCache>
            </c:strRef>
          </c:tx>
          <c:marker>
            <c:symbol val="none"/>
          </c:marker>
          <c:dLbls>
            <c:spPr>
              <a:gradFill>
                <a:gsLst>
                  <a:gs pos="100000">
                    <a:schemeClr val="lt1">
                      <a:lumMod val="95000"/>
                    </a:schemeClr>
                  </a:gs>
                  <a:gs pos="0">
                    <a:schemeClr val="lt1"/>
                  </a:gs>
                </a:gsLst>
                <a:lin ang="5400000" scaled="0"/>
              </a:gradFill>
              <a:ln>
                <a:noFill/>
              </a:ln>
              <a:effectLst/>
            </c:spPr>
            <c:txPr>
              <a:bodyPr rot="0" spcFirstLastPara="1" vertOverflow="ellipsis" vert="horz" wrap="square" lIns="0" tIns="0" rIns="0" bIns="0" anchor="t"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sl-SI"/>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dk1">
                          <a:lumMod val="35000"/>
                          <a:lumOff val="65000"/>
                        </a:schemeClr>
                      </a:solidFill>
                    </a:ln>
                    <a:effectLst/>
                  </c:spPr>
                </c15:leaderLines>
              </c:ext>
            </c:extLst>
          </c:dLbls>
          <c:cat>
            <c:numRef>
              <c:f>Slovenia_Rating!$A$2:$A$12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Montenegro_Rating!$C$2:$C$12</c:f>
              <c:numCache>
                <c:formatCode>General</c:formatCode>
                <c:ptCount val="11"/>
                <c:pt idx="0">
                  <c:v>2</c:v>
                </c:pt>
                <c:pt idx="1">
                  <c:v>3.98</c:v>
                </c:pt>
                <c:pt idx="2">
                  <c:v>3.98</c:v>
                </c:pt>
                <c:pt idx="3">
                  <c:v>4.6399999999999997</c:v>
                </c:pt>
                <c:pt idx="4">
                  <c:v>4.6399999999999997</c:v>
                </c:pt>
                <c:pt idx="5">
                  <c:v>4.6399999999999997</c:v>
                </c:pt>
                <c:pt idx="6">
                  <c:v>5.3</c:v>
                </c:pt>
                <c:pt idx="7">
                  <c:v>5.3</c:v>
                </c:pt>
                <c:pt idx="8">
                  <c:v>6.62</c:v>
                </c:pt>
                <c:pt idx="9">
                  <c:v>6.62</c:v>
                </c:pt>
                <c:pt idx="10">
                  <c:v>6.62</c:v>
                </c:pt>
              </c:numCache>
            </c:numRef>
          </c:val>
          <c:smooth val="0"/>
          <c:extLst>
            <c:ext xmlns:c16="http://schemas.microsoft.com/office/drawing/2014/chart" uri="{C3380CC4-5D6E-409C-BE32-E72D297353CC}">
              <c16:uniqueId val="{00000000-513C-47E4-A592-563B12DC3B59}"/>
            </c:ext>
          </c:extLst>
        </c:ser>
        <c:dLbls>
          <c:dLblPos val="t"/>
          <c:showLegendKey val="0"/>
          <c:showVal val="1"/>
          <c:showCatName val="0"/>
          <c:showSerName val="0"/>
          <c:showPercent val="0"/>
          <c:showBubbleSize val="0"/>
        </c:dLbls>
        <c:smooth val="0"/>
        <c:axId val="1560804848"/>
        <c:axId val="1560806768"/>
      </c:lineChart>
      <c:catAx>
        <c:axId val="1560804848"/>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6768"/>
        <c:crosses val="autoZero"/>
        <c:auto val="1"/>
        <c:lblAlgn val="ctr"/>
        <c:lblOffset val="0"/>
        <c:noMultiLvlLbl val="0"/>
      </c:catAx>
      <c:valAx>
        <c:axId val="1560806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484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sl-SI"/>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sl-SI" sz="1300" b="1">
                <a:solidFill>
                  <a:sysClr val="windowText" lastClr="000000"/>
                </a:solidFill>
              </a:rPr>
              <a:t>Albania policy rating</a:t>
            </a:r>
            <a:endParaRPr lang="en-US" sz="1300" b="1">
              <a:solidFill>
                <a:sysClr val="windowText" lastClr="000000"/>
              </a:solidFill>
            </a:endParaRPr>
          </a:p>
        </c:rich>
      </c:tx>
      <c:overlay val="0"/>
      <c:spPr>
        <a:noFill/>
        <a:ln>
          <a:noFill/>
        </a:ln>
        <a:effectLst/>
      </c:spPr>
    </c:title>
    <c:autoTitleDeleted val="0"/>
    <c:plotArea>
      <c:layout/>
      <c:lineChart>
        <c:grouping val="standard"/>
        <c:varyColors val="0"/>
        <c:ser>
          <c:idx val="0"/>
          <c:order val="0"/>
          <c:tx>
            <c:strRef>
              <c:f>Albania_Rating!$C$1</c:f>
              <c:strCache>
                <c:ptCount val="1"/>
                <c:pt idx="0">
                  <c:v>Rating Value</c:v>
                </c:pt>
              </c:strCache>
            </c:strRef>
          </c:tx>
          <c:marker>
            <c:symbol val="none"/>
          </c:marker>
          <c:dLbls>
            <c:spPr>
              <a:gradFill>
                <a:gsLst>
                  <a:gs pos="100000">
                    <a:schemeClr val="lt1">
                      <a:lumMod val="95000"/>
                    </a:schemeClr>
                  </a:gs>
                  <a:gs pos="0">
                    <a:schemeClr val="lt1"/>
                  </a:gs>
                </a:gsLst>
                <a:lin ang="5400000" scaled="0"/>
              </a:gradFill>
              <a:ln>
                <a:noFill/>
              </a:ln>
              <a:effectLst/>
            </c:spPr>
            <c:txPr>
              <a:bodyPr rot="0" spcFirstLastPara="1" vertOverflow="ellipsis" vert="horz" wrap="square" lIns="0" tIns="0" rIns="0" bIns="0" anchor="t"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sl-SI"/>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dk1">
                          <a:lumMod val="35000"/>
                          <a:lumOff val="65000"/>
                        </a:schemeClr>
                      </a:solidFill>
                    </a:ln>
                    <a:effectLst/>
                  </c:spPr>
                </c15:leaderLines>
              </c:ext>
            </c:extLst>
          </c:dLbls>
          <c:cat>
            <c:numRef>
              <c:f>Slovenia_Rating!$A$2:$A$12</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Albania_Rating!$C$2:$C$12</c:f>
              <c:numCache>
                <c:formatCode>General</c:formatCode>
                <c:ptCount val="11"/>
                <c:pt idx="0">
                  <c:v>0</c:v>
                </c:pt>
                <c:pt idx="1">
                  <c:v>0.66</c:v>
                </c:pt>
                <c:pt idx="2">
                  <c:v>0.66</c:v>
                </c:pt>
                <c:pt idx="3">
                  <c:v>0.66</c:v>
                </c:pt>
                <c:pt idx="4">
                  <c:v>1.32</c:v>
                </c:pt>
                <c:pt idx="5">
                  <c:v>1.98</c:v>
                </c:pt>
                <c:pt idx="6">
                  <c:v>4.9800000000000004</c:v>
                </c:pt>
                <c:pt idx="7">
                  <c:v>4.9800000000000004</c:v>
                </c:pt>
                <c:pt idx="8">
                  <c:v>6.3000000000000007</c:v>
                </c:pt>
                <c:pt idx="9">
                  <c:v>3.6300000000000008</c:v>
                </c:pt>
                <c:pt idx="10">
                  <c:v>3.6300000000000008</c:v>
                </c:pt>
              </c:numCache>
            </c:numRef>
          </c:val>
          <c:smooth val="0"/>
          <c:extLst>
            <c:ext xmlns:c16="http://schemas.microsoft.com/office/drawing/2014/chart" uri="{C3380CC4-5D6E-409C-BE32-E72D297353CC}">
              <c16:uniqueId val="{00000000-56D0-4FFC-9230-EDF473C3B83C}"/>
            </c:ext>
          </c:extLst>
        </c:ser>
        <c:dLbls>
          <c:dLblPos val="t"/>
          <c:showLegendKey val="0"/>
          <c:showVal val="1"/>
          <c:showCatName val="0"/>
          <c:showSerName val="0"/>
          <c:showPercent val="0"/>
          <c:showBubbleSize val="0"/>
        </c:dLbls>
        <c:smooth val="0"/>
        <c:axId val="1560804848"/>
        <c:axId val="1560806768"/>
      </c:lineChart>
      <c:catAx>
        <c:axId val="1560804848"/>
        <c:scaling>
          <c:orientation val="minMax"/>
        </c:scaling>
        <c:delete val="0"/>
        <c:axPos val="b"/>
        <c:numFmt formatCode="General" sourceLinked="1"/>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6768"/>
        <c:crosses val="autoZero"/>
        <c:auto val="1"/>
        <c:lblAlgn val="ctr"/>
        <c:lblOffset val="0"/>
        <c:noMultiLvlLbl val="0"/>
      </c:catAx>
      <c:valAx>
        <c:axId val="1560806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sl-SI"/>
          </a:p>
        </c:txPr>
        <c:crossAx val="156080484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sl-SI"/>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sl-SI"/>
              <a:t>Index</a:t>
            </a:r>
            <a:r>
              <a:rPr lang="sl-SI" baseline="0"/>
              <a:t> values for the entire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l-SI"/>
        </a:p>
      </c:txPr>
    </c:title>
    <c:autoTitleDeleted val="0"/>
    <c:plotArea>
      <c:layout/>
      <c:lineChart>
        <c:grouping val="standard"/>
        <c:varyColors val="0"/>
        <c:ser>
          <c:idx val="1"/>
          <c:order val="0"/>
          <c:tx>
            <c:strRef>
              <c:f>Variables_Graphs!$B$2</c:f>
              <c:strCache>
                <c:ptCount val="1"/>
                <c:pt idx="0">
                  <c:v>HUMAN FREEDOM INDEX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Variables_Graphs!$B$115:$B$125</c:f>
              <c:numCache>
                <c:formatCode>0.00</c:formatCode>
                <c:ptCount val="11"/>
                <c:pt idx="0">
                  <c:v>8.93</c:v>
                </c:pt>
                <c:pt idx="1">
                  <c:v>8.9414285714285704</c:v>
                </c:pt>
                <c:pt idx="2">
                  <c:v>8.9385714285714286</c:v>
                </c:pt>
                <c:pt idx="3">
                  <c:v>8.901428571428573</c:v>
                </c:pt>
                <c:pt idx="4">
                  <c:v>8.9171428571428581</c:v>
                </c:pt>
                <c:pt idx="5">
                  <c:v>8.5985714285714288</c:v>
                </c:pt>
                <c:pt idx="6">
                  <c:v>8.6357142857142879</c:v>
                </c:pt>
                <c:pt idx="7">
                  <c:v>8.7471428571428564</c:v>
                </c:pt>
                <c:pt idx="8">
                  <c:v>8.668571428571429</c:v>
                </c:pt>
                <c:pt idx="9">
                  <c:v>8.7471428571428564</c:v>
                </c:pt>
              </c:numCache>
            </c:numRef>
          </c:val>
          <c:smooth val="0"/>
          <c:extLst>
            <c:ext xmlns:c16="http://schemas.microsoft.com/office/drawing/2014/chart" uri="{C3380CC4-5D6E-409C-BE32-E72D297353CC}">
              <c16:uniqueId val="{00000000-FF5B-4605-8047-4835341529F8}"/>
            </c:ext>
          </c:extLst>
        </c:ser>
        <c:ser>
          <c:idx val="2"/>
          <c:order val="1"/>
          <c:tx>
            <c:strRef>
              <c:f>Variables_Graphs!$C$2</c:f>
              <c:strCache>
                <c:ptCount val="1"/>
                <c:pt idx="0">
                  <c:v>CIVIL SOCIETY PARTICIPATION INDEX</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Variables_Graphs!$C$115:$C$125</c:f>
              <c:numCache>
                <c:formatCode>0.00</c:formatCode>
                <c:ptCount val="11"/>
                <c:pt idx="0">
                  <c:v>7.8571428571428568</c:v>
                </c:pt>
                <c:pt idx="1">
                  <c:v>7.742857142857142</c:v>
                </c:pt>
                <c:pt idx="2">
                  <c:v>7.8</c:v>
                </c:pt>
                <c:pt idx="3">
                  <c:v>7.6000000000000014</c:v>
                </c:pt>
                <c:pt idx="4">
                  <c:v>7.8</c:v>
                </c:pt>
                <c:pt idx="5">
                  <c:v>7.7857142857142856</c:v>
                </c:pt>
                <c:pt idx="6">
                  <c:v>7.6857142857142859</c:v>
                </c:pt>
                <c:pt idx="7">
                  <c:v>7.5714285714285712</c:v>
                </c:pt>
                <c:pt idx="8">
                  <c:v>7.6285714285714281</c:v>
                </c:pt>
                <c:pt idx="9">
                  <c:v>7.4285714285714288</c:v>
                </c:pt>
              </c:numCache>
            </c:numRef>
          </c:val>
          <c:smooth val="0"/>
          <c:extLst>
            <c:ext xmlns:c16="http://schemas.microsoft.com/office/drawing/2014/chart" uri="{C3380CC4-5D6E-409C-BE32-E72D297353CC}">
              <c16:uniqueId val="{00000001-FF5B-4605-8047-4835341529F8}"/>
            </c:ext>
          </c:extLst>
        </c:ser>
        <c:ser>
          <c:idx val="3"/>
          <c:order val="2"/>
          <c:tx>
            <c:strRef>
              <c:f>Variables_Graphs!$D$2</c:f>
              <c:strCache>
                <c:ptCount val="1"/>
                <c:pt idx="0">
                  <c:v>POLITICAL STABILITY INDEX</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Variables_Graphs!$D$115:$D$125</c:f>
              <c:numCache>
                <c:formatCode>0.00</c:formatCode>
                <c:ptCount val="11"/>
                <c:pt idx="1">
                  <c:v>1.2857142857142858</c:v>
                </c:pt>
                <c:pt idx="2">
                  <c:v>1.2171428571428571</c:v>
                </c:pt>
                <c:pt idx="3">
                  <c:v>1.2742857142857142</c:v>
                </c:pt>
                <c:pt idx="4">
                  <c:v>1.102857142857143</c:v>
                </c:pt>
                <c:pt idx="5">
                  <c:v>0.95428571428571429</c:v>
                </c:pt>
                <c:pt idx="6">
                  <c:v>1.0742857142857143</c:v>
                </c:pt>
                <c:pt idx="7">
                  <c:v>0.89142857142857124</c:v>
                </c:pt>
                <c:pt idx="8">
                  <c:v>1.2457142857142856</c:v>
                </c:pt>
              </c:numCache>
            </c:numRef>
          </c:val>
          <c:smooth val="0"/>
          <c:extLst>
            <c:ext xmlns:c16="http://schemas.microsoft.com/office/drawing/2014/chart" uri="{C3380CC4-5D6E-409C-BE32-E72D297353CC}">
              <c16:uniqueId val="{00000002-FF5B-4605-8047-4835341529F8}"/>
            </c:ext>
          </c:extLst>
        </c:ser>
        <c:ser>
          <c:idx val="4"/>
          <c:order val="3"/>
          <c:tx>
            <c:strRef>
              <c:f>Variables_Graphs!$E$2</c:f>
              <c:strCache>
                <c:ptCount val="1"/>
                <c:pt idx="0">
                  <c:v>ACADEMIC FREEDOM INDEX</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Variables_Graphs!$E$115:$E$125</c:f>
              <c:numCache>
                <c:formatCode>0.00</c:formatCode>
                <c:ptCount val="11"/>
                <c:pt idx="0">
                  <c:v>8.6428571428571423</c:v>
                </c:pt>
                <c:pt idx="1">
                  <c:v>8.6285714285714281</c:v>
                </c:pt>
                <c:pt idx="2">
                  <c:v>8.8714285714285719</c:v>
                </c:pt>
                <c:pt idx="3">
                  <c:v>8.8000000000000007</c:v>
                </c:pt>
                <c:pt idx="4">
                  <c:v>8.7571428571428562</c:v>
                </c:pt>
                <c:pt idx="5">
                  <c:v>8.6999999999999993</c:v>
                </c:pt>
                <c:pt idx="6">
                  <c:v>8.6857142857142851</c:v>
                </c:pt>
                <c:pt idx="7">
                  <c:v>8.7142857142857135</c:v>
                </c:pt>
                <c:pt idx="8">
                  <c:v>8.3857142857142861</c:v>
                </c:pt>
                <c:pt idx="9">
                  <c:v>8.3714285714285701</c:v>
                </c:pt>
              </c:numCache>
            </c:numRef>
          </c:val>
          <c:smooth val="0"/>
          <c:extLst>
            <c:ext xmlns:c16="http://schemas.microsoft.com/office/drawing/2014/chart" uri="{C3380CC4-5D6E-409C-BE32-E72D297353CC}">
              <c16:uniqueId val="{00000003-FF5B-4605-8047-4835341529F8}"/>
            </c:ext>
          </c:extLst>
        </c:ser>
        <c:ser>
          <c:idx val="5"/>
          <c:order val="4"/>
          <c:tx>
            <c:strRef>
              <c:f>Variables_Graphs!$F$2</c:f>
              <c:strCache>
                <c:ptCount val="1"/>
                <c:pt idx="0">
                  <c:v>ECONOMIC FREEDOM INDEX</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Variables_Graphs!$F$115:$F$125</c:f>
              <c:numCache>
                <c:formatCode>0.00</c:formatCode>
                <c:ptCount val="11"/>
                <c:pt idx="0">
                  <c:v>7.2157142857142853</c:v>
                </c:pt>
                <c:pt idx="1">
                  <c:v>7.2100000000000009</c:v>
                </c:pt>
                <c:pt idx="2">
                  <c:v>7.1514285714285721</c:v>
                </c:pt>
                <c:pt idx="3">
                  <c:v>7.378571428571429</c:v>
                </c:pt>
                <c:pt idx="4">
                  <c:v>7.3685714285714274</c:v>
                </c:pt>
                <c:pt idx="5">
                  <c:v>7.47</c:v>
                </c:pt>
                <c:pt idx="6">
                  <c:v>7.5200000000000014</c:v>
                </c:pt>
                <c:pt idx="7">
                  <c:v>7.4814285714285704</c:v>
                </c:pt>
                <c:pt idx="8">
                  <c:v>7.3614285714285712</c:v>
                </c:pt>
                <c:pt idx="9">
                  <c:v>7.2128571428571417</c:v>
                </c:pt>
                <c:pt idx="10">
                  <c:v>7.427142857142857</c:v>
                </c:pt>
              </c:numCache>
            </c:numRef>
          </c:val>
          <c:smooth val="0"/>
          <c:extLst>
            <c:ext xmlns:c16="http://schemas.microsoft.com/office/drawing/2014/chart" uri="{C3380CC4-5D6E-409C-BE32-E72D297353CC}">
              <c16:uniqueId val="{00000004-FF5B-4605-8047-4835341529F8}"/>
            </c:ext>
          </c:extLst>
        </c:ser>
        <c:ser>
          <c:idx val="8"/>
          <c:order val="5"/>
          <c:tx>
            <c:strRef>
              <c:f>Variables_Graphs!$I$2</c:f>
              <c:strCache>
                <c:ptCount val="1"/>
                <c:pt idx="0">
                  <c:v>LIBERAL DEMOCRACY INDEX</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Variables_Graphs!$A$3:$A$13</c:f>
              <c:numCache>
                <c:formatCode>General</c:formatCode>
                <c:ptCount val="11"/>
                <c:pt idx="0">
                  <c:v>2015</c:v>
                </c:pt>
                <c:pt idx="1">
                  <c:v>2016</c:v>
                </c:pt>
                <c:pt idx="2">
                  <c:v>2017</c:v>
                </c:pt>
                <c:pt idx="3">
                  <c:v>2018</c:v>
                </c:pt>
                <c:pt idx="4">
                  <c:v>2019</c:v>
                </c:pt>
                <c:pt idx="5">
                  <c:v>2020</c:v>
                </c:pt>
                <c:pt idx="6">
                  <c:v>2021</c:v>
                </c:pt>
                <c:pt idx="7">
                  <c:v>2022</c:v>
                </c:pt>
                <c:pt idx="8">
                  <c:v>2023</c:v>
                </c:pt>
                <c:pt idx="9">
                  <c:v>2024</c:v>
                </c:pt>
                <c:pt idx="10">
                  <c:v>2025</c:v>
                </c:pt>
              </c:numCache>
            </c:numRef>
          </c:cat>
          <c:val>
            <c:numRef>
              <c:f>Variables_Graphs!$I$115:$I$125</c:f>
              <c:numCache>
                <c:formatCode>0.00</c:formatCode>
                <c:ptCount val="11"/>
                <c:pt idx="0">
                  <c:v>5.410000000000001</c:v>
                </c:pt>
                <c:pt idx="1">
                  <c:v>5.2771428571428567</c:v>
                </c:pt>
                <c:pt idx="2">
                  <c:v>5.2442857142857147</c:v>
                </c:pt>
                <c:pt idx="3">
                  <c:v>5.0871428571428572</c:v>
                </c:pt>
                <c:pt idx="4">
                  <c:v>5.0785714285714283</c:v>
                </c:pt>
                <c:pt idx="5">
                  <c:v>4.9857142857142858</c:v>
                </c:pt>
                <c:pt idx="6">
                  <c:v>4.9085714285714293</c:v>
                </c:pt>
                <c:pt idx="7">
                  <c:v>5.0614285714285714</c:v>
                </c:pt>
                <c:pt idx="8">
                  <c:v>4.9185714285714299</c:v>
                </c:pt>
                <c:pt idx="9">
                  <c:v>4.8085714285714287</c:v>
                </c:pt>
              </c:numCache>
            </c:numRef>
          </c:val>
          <c:smooth val="0"/>
          <c:extLst>
            <c:ext xmlns:c16="http://schemas.microsoft.com/office/drawing/2014/chart" uri="{C3380CC4-5D6E-409C-BE32-E72D297353CC}">
              <c16:uniqueId val="{00000005-FF5B-4605-8047-4835341529F8}"/>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618699631"/>
        <c:axId val="618700111"/>
        <c:extLst/>
      </c:lineChart>
      <c:catAx>
        <c:axId val="61869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crossAx val="618700111"/>
        <c:crosses val="autoZero"/>
        <c:auto val="1"/>
        <c:lblAlgn val="ctr"/>
        <c:lblOffset val="100"/>
        <c:noMultiLvlLbl val="0"/>
      </c:catAx>
      <c:valAx>
        <c:axId val="6187001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crossAx val="618699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l-S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l-SI"/>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9.xml"/><Relationship Id="rId13" Type="http://schemas.openxmlformats.org/officeDocument/2006/relationships/chart" Target="../charts/chart24.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17" Type="http://schemas.openxmlformats.org/officeDocument/2006/relationships/chart" Target="../charts/chart28.xml"/><Relationship Id="rId2" Type="http://schemas.openxmlformats.org/officeDocument/2006/relationships/chart" Target="../charts/chart13.xml"/><Relationship Id="rId16" Type="http://schemas.openxmlformats.org/officeDocument/2006/relationships/chart" Target="../charts/chart27.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5" Type="http://schemas.openxmlformats.org/officeDocument/2006/relationships/chart" Target="../charts/chart2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 Id="rId14"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4</xdr:col>
      <xdr:colOff>160020</xdr:colOff>
      <xdr:row>1</xdr:row>
      <xdr:rowOff>0</xdr:rowOff>
    </xdr:from>
    <xdr:to>
      <xdr:col>11</xdr:col>
      <xdr:colOff>464820</xdr:colOff>
      <xdr:row>16</xdr:row>
      <xdr:rowOff>0</xdr:rowOff>
    </xdr:to>
    <xdr:graphicFrame macro="">
      <xdr:nvGraphicFramePr>
        <xdr:cNvPr id="3" name="Chart 2">
          <a:extLst>
            <a:ext uri="{FF2B5EF4-FFF2-40B4-BE49-F238E27FC236}">
              <a16:creationId xmlns:a16="http://schemas.microsoft.com/office/drawing/2014/main" id="{0E67938D-01C6-4758-8094-24FF7F2CF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3</xdr:row>
      <xdr:rowOff>68580</xdr:rowOff>
    </xdr:from>
    <xdr:to>
      <xdr:col>11</xdr:col>
      <xdr:colOff>312420</xdr:colOff>
      <xdr:row>18</xdr:row>
      <xdr:rowOff>68580</xdr:rowOff>
    </xdr:to>
    <xdr:graphicFrame macro="">
      <xdr:nvGraphicFramePr>
        <xdr:cNvPr id="2" name="Chart 1">
          <a:extLst>
            <a:ext uri="{FF2B5EF4-FFF2-40B4-BE49-F238E27FC236}">
              <a16:creationId xmlns:a16="http://schemas.microsoft.com/office/drawing/2014/main" id="{996C83DE-43A6-4C2A-AA38-24B8DCF61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xdr:colOff>
      <xdr:row>0</xdr:row>
      <xdr:rowOff>83820</xdr:rowOff>
    </xdr:from>
    <xdr:to>
      <xdr:col>11</xdr:col>
      <xdr:colOff>320040</xdr:colOff>
      <xdr:row>15</xdr:row>
      <xdr:rowOff>83820</xdr:rowOff>
    </xdr:to>
    <xdr:graphicFrame macro="">
      <xdr:nvGraphicFramePr>
        <xdr:cNvPr id="2" name="Chart 1">
          <a:extLst>
            <a:ext uri="{FF2B5EF4-FFF2-40B4-BE49-F238E27FC236}">
              <a16:creationId xmlns:a16="http://schemas.microsoft.com/office/drawing/2014/main" id="{37D983A9-A7BC-4F78-8EB1-A8E333661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76200</xdr:colOff>
      <xdr:row>0</xdr:row>
      <xdr:rowOff>68580</xdr:rowOff>
    </xdr:from>
    <xdr:to>
      <xdr:col>11</xdr:col>
      <xdr:colOff>381000</xdr:colOff>
      <xdr:row>15</xdr:row>
      <xdr:rowOff>68580</xdr:rowOff>
    </xdr:to>
    <xdr:graphicFrame macro="">
      <xdr:nvGraphicFramePr>
        <xdr:cNvPr id="2" name="Chart 1">
          <a:extLst>
            <a:ext uri="{FF2B5EF4-FFF2-40B4-BE49-F238E27FC236}">
              <a16:creationId xmlns:a16="http://schemas.microsoft.com/office/drawing/2014/main" id="{8CB57745-0652-4CF7-9ABB-837B6A907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68580</xdr:colOff>
      <xdr:row>0</xdr:row>
      <xdr:rowOff>68580</xdr:rowOff>
    </xdr:from>
    <xdr:to>
      <xdr:col>11</xdr:col>
      <xdr:colOff>373380</xdr:colOff>
      <xdr:row>15</xdr:row>
      <xdr:rowOff>68580</xdr:rowOff>
    </xdr:to>
    <xdr:graphicFrame macro="">
      <xdr:nvGraphicFramePr>
        <xdr:cNvPr id="2" name="Chart 1">
          <a:extLst>
            <a:ext uri="{FF2B5EF4-FFF2-40B4-BE49-F238E27FC236}">
              <a16:creationId xmlns:a16="http://schemas.microsoft.com/office/drawing/2014/main" id="{32C1500A-0D99-4ACD-B94B-61A589CCB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38100</xdr:colOff>
      <xdr:row>0</xdr:row>
      <xdr:rowOff>76200</xdr:rowOff>
    </xdr:from>
    <xdr:to>
      <xdr:col>11</xdr:col>
      <xdr:colOff>342900</xdr:colOff>
      <xdr:row>15</xdr:row>
      <xdr:rowOff>76200</xdr:rowOff>
    </xdr:to>
    <xdr:graphicFrame macro="">
      <xdr:nvGraphicFramePr>
        <xdr:cNvPr id="2" name="Chart 1">
          <a:extLst>
            <a:ext uri="{FF2B5EF4-FFF2-40B4-BE49-F238E27FC236}">
              <a16:creationId xmlns:a16="http://schemas.microsoft.com/office/drawing/2014/main" id="{78A4B1C4-559E-4917-8E4D-4F37E001E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30480</xdr:colOff>
      <xdr:row>0</xdr:row>
      <xdr:rowOff>83820</xdr:rowOff>
    </xdr:from>
    <xdr:to>
      <xdr:col>11</xdr:col>
      <xdr:colOff>335280</xdr:colOff>
      <xdr:row>15</xdr:row>
      <xdr:rowOff>83820</xdr:rowOff>
    </xdr:to>
    <xdr:graphicFrame macro="">
      <xdr:nvGraphicFramePr>
        <xdr:cNvPr id="2" name="Chart 1">
          <a:extLst>
            <a:ext uri="{FF2B5EF4-FFF2-40B4-BE49-F238E27FC236}">
              <a16:creationId xmlns:a16="http://schemas.microsoft.com/office/drawing/2014/main" id="{25BBEAE2-4E73-4CC6-968F-FBFD55FB3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76200</xdr:colOff>
      <xdr:row>0</xdr:row>
      <xdr:rowOff>68580</xdr:rowOff>
    </xdr:from>
    <xdr:to>
      <xdr:col>11</xdr:col>
      <xdr:colOff>381000</xdr:colOff>
      <xdr:row>15</xdr:row>
      <xdr:rowOff>68580</xdr:rowOff>
    </xdr:to>
    <xdr:graphicFrame macro="">
      <xdr:nvGraphicFramePr>
        <xdr:cNvPr id="4" name="Chart 3">
          <a:extLst>
            <a:ext uri="{FF2B5EF4-FFF2-40B4-BE49-F238E27FC236}">
              <a16:creationId xmlns:a16="http://schemas.microsoft.com/office/drawing/2014/main" id="{0B0AE038-619E-5EBA-CEF8-AD7DC76B92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76200</xdr:colOff>
      <xdr:row>0</xdr:row>
      <xdr:rowOff>68580</xdr:rowOff>
    </xdr:from>
    <xdr:to>
      <xdr:col>11</xdr:col>
      <xdr:colOff>381000</xdr:colOff>
      <xdr:row>15</xdr:row>
      <xdr:rowOff>68580</xdr:rowOff>
    </xdr:to>
    <xdr:graphicFrame macro="">
      <xdr:nvGraphicFramePr>
        <xdr:cNvPr id="2" name="Chart 1">
          <a:extLst>
            <a:ext uri="{FF2B5EF4-FFF2-40B4-BE49-F238E27FC236}">
              <a16:creationId xmlns:a16="http://schemas.microsoft.com/office/drawing/2014/main" id="{5F7CFF08-54EA-4F99-9C9D-AC5415832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28</xdr:col>
      <xdr:colOff>30480</xdr:colOff>
      <xdr:row>2</xdr:row>
      <xdr:rowOff>22860</xdr:rowOff>
    </xdr:from>
    <xdr:to>
      <xdr:col>31</xdr:col>
      <xdr:colOff>396240</xdr:colOff>
      <xdr:row>20</xdr:row>
      <xdr:rowOff>15240</xdr:rowOff>
    </xdr:to>
    <mc:AlternateContent xmlns:mc="http://schemas.openxmlformats.org/markup-compatibility/2006" xmlns:a14="http://schemas.microsoft.com/office/drawing/2010/main">
      <mc:Choice Requires="a14">
        <xdr:graphicFrame macro="">
          <xdr:nvGraphicFramePr>
            <xdr:cNvPr id="2" name="Years (Policy Date)">
              <a:extLst>
                <a:ext uri="{FF2B5EF4-FFF2-40B4-BE49-F238E27FC236}">
                  <a16:creationId xmlns:a16="http://schemas.microsoft.com/office/drawing/2014/main" id="{2ACF11F7-46AA-C3A9-918D-2EC5F441652B}"/>
                </a:ext>
              </a:extLst>
            </xdr:cNvPr>
            <xdr:cNvGraphicFramePr/>
          </xdr:nvGraphicFramePr>
          <xdr:xfrm>
            <a:off x="0" y="0"/>
            <a:ext cx="0" cy="0"/>
          </xdr:xfrm>
          <a:graphic>
            <a:graphicData uri="http://schemas.microsoft.com/office/drawing/2010/slicer">
              <sle:slicer xmlns:sle="http://schemas.microsoft.com/office/drawing/2010/slicer" name="Years (Policy Date)"/>
            </a:graphicData>
          </a:graphic>
        </xdr:graphicFrame>
      </mc:Choice>
      <mc:Fallback xmlns="">
        <xdr:sp macro="" textlink="">
          <xdr:nvSpPr>
            <xdr:cNvPr id="0" name=""/>
            <xdr:cNvSpPr>
              <a:spLocks noTextEdit="1"/>
            </xdr:cNvSpPr>
          </xdr:nvSpPr>
          <xdr:spPr>
            <a:xfrm>
              <a:off x="18669000" y="388620"/>
              <a:ext cx="2194560" cy="3284220"/>
            </a:xfrm>
            <a:prstGeom prst="rect">
              <a:avLst/>
            </a:prstGeom>
            <a:solidFill>
              <a:prstClr val="white"/>
            </a:solidFill>
            <a:ln w="1">
              <a:solidFill>
                <a:prstClr val="green"/>
              </a:solidFill>
            </a:ln>
          </xdr:spPr>
          <xdr:txBody>
            <a:bodyPr vertOverflow="clip" horzOverflow="clip"/>
            <a:lstStyle/>
            <a:p>
              <a:r>
                <a:rPr lang="sl-S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7620</xdr:colOff>
      <xdr:row>2</xdr:row>
      <xdr:rowOff>7620</xdr:rowOff>
    </xdr:from>
    <xdr:to>
      <xdr:col>25</xdr:col>
      <xdr:colOff>175260</xdr:colOff>
      <xdr:row>25</xdr:row>
      <xdr:rowOff>53340</xdr:rowOff>
    </xdr:to>
    <xdr:graphicFrame macro="">
      <xdr:nvGraphicFramePr>
        <xdr:cNvPr id="6" name="Chart_01">
          <a:extLst>
            <a:ext uri="{FF2B5EF4-FFF2-40B4-BE49-F238E27FC236}">
              <a16:creationId xmlns:a16="http://schemas.microsoft.com/office/drawing/2014/main" id="{033FD112-B73A-0197-7115-8CB7010E53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26</xdr:row>
      <xdr:rowOff>19050</xdr:rowOff>
    </xdr:from>
    <xdr:to>
      <xdr:col>17</xdr:col>
      <xdr:colOff>30480</xdr:colOff>
      <xdr:row>41</xdr:row>
      <xdr:rowOff>19050</xdr:rowOff>
    </xdr:to>
    <xdr:graphicFrame macro="">
      <xdr:nvGraphicFramePr>
        <xdr:cNvPr id="8" name="Chart 7">
          <a:extLst>
            <a:ext uri="{FF2B5EF4-FFF2-40B4-BE49-F238E27FC236}">
              <a16:creationId xmlns:a16="http://schemas.microsoft.com/office/drawing/2014/main" id="{AF7336E9-05D3-2943-917E-633EE92AB0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13</xdr:col>
      <xdr:colOff>7620</xdr:colOff>
      <xdr:row>1</xdr:row>
      <xdr:rowOff>148590</xdr:rowOff>
    </xdr:from>
    <xdr:to>
      <xdr:col>20</xdr:col>
      <xdr:colOff>305220</xdr:colOff>
      <xdr:row>31</xdr:row>
      <xdr:rowOff>152400</xdr:rowOff>
    </xdr:to>
    <xdr:graphicFrame macro="">
      <xdr:nvGraphicFramePr>
        <xdr:cNvPr id="2" name="Chart 1">
          <a:extLst>
            <a:ext uri="{FF2B5EF4-FFF2-40B4-BE49-F238E27FC236}">
              <a16:creationId xmlns:a16="http://schemas.microsoft.com/office/drawing/2014/main" id="{FE413775-8186-90F8-0876-081990F4D0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7620</xdr:colOff>
      <xdr:row>32</xdr:row>
      <xdr:rowOff>0</xdr:rowOff>
    </xdr:from>
    <xdr:to>
      <xdr:col>20</xdr:col>
      <xdr:colOff>304800</xdr:colOff>
      <xdr:row>47</xdr:row>
      <xdr:rowOff>0</xdr:rowOff>
    </xdr:to>
    <xdr:graphicFrame macro="">
      <xdr:nvGraphicFramePr>
        <xdr:cNvPr id="3" name="Chart 2">
          <a:extLst>
            <a:ext uri="{FF2B5EF4-FFF2-40B4-BE49-F238E27FC236}">
              <a16:creationId xmlns:a16="http://schemas.microsoft.com/office/drawing/2014/main" id="{04142135-D630-47A0-9462-C7E58B4B7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1</xdr:row>
      <xdr:rowOff>152400</xdr:rowOff>
    </xdr:from>
    <xdr:to>
      <xdr:col>28</xdr:col>
      <xdr:colOff>297600</xdr:colOff>
      <xdr:row>31</xdr:row>
      <xdr:rowOff>156210</xdr:rowOff>
    </xdr:to>
    <xdr:graphicFrame macro="">
      <xdr:nvGraphicFramePr>
        <xdr:cNvPr id="4" name="Chart 3">
          <a:extLst>
            <a:ext uri="{FF2B5EF4-FFF2-40B4-BE49-F238E27FC236}">
              <a16:creationId xmlns:a16="http://schemas.microsoft.com/office/drawing/2014/main" id="{D6640FFA-E6BF-4ED2-BC99-901028E31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0</xdr:colOff>
      <xdr:row>32</xdr:row>
      <xdr:rowOff>0</xdr:rowOff>
    </xdr:from>
    <xdr:to>
      <xdr:col>28</xdr:col>
      <xdr:colOff>297600</xdr:colOff>
      <xdr:row>47</xdr:row>
      <xdr:rowOff>0</xdr:rowOff>
    </xdr:to>
    <xdr:graphicFrame macro="">
      <xdr:nvGraphicFramePr>
        <xdr:cNvPr id="5" name="Chart 4">
          <a:extLst>
            <a:ext uri="{FF2B5EF4-FFF2-40B4-BE49-F238E27FC236}">
              <a16:creationId xmlns:a16="http://schemas.microsoft.com/office/drawing/2014/main" id="{9D4A6556-64F8-48FB-A9E4-EFEC369C8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0</xdr:colOff>
      <xdr:row>1</xdr:row>
      <xdr:rowOff>160020</xdr:rowOff>
    </xdr:from>
    <xdr:to>
      <xdr:col>36</xdr:col>
      <xdr:colOff>297600</xdr:colOff>
      <xdr:row>31</xdr:row>
      <xdr:rowOff>163830</xdr:rowOff>
    </xdr:to>
    <xdr:graphicFrame macro="">
      <xdr:nvGraphicFramePr>
        <xdr:cNvPr id="6" name="Chart 5">
          <a:extLst>
            <a:ext uri="{FF2B5EF4-FFF2-40B4-BE49-F238E27FC236}">
              <a16:creationId xmlns:a16="http://schemas.microsoft.com/office/drawing/2014/main" id="{E95A24FF-FA04-4E1C-BC15-07EBDAE6F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36</xdr:col>
      <xdr:colOff>601980</xdr:colOff>
      <xdr:row>1</xdr:row>
      <xdr:rowOff>167640</xdr:rowOff>
    </xdr:from>
    <xdr:to>
      <xdr:col>44</xdr:col>
      <xdr:colOff>289980</xdr:colOff>
      <xdr:row>31</xdr:row>
      <xdr:rowOff>171450</xdr:rowOff>
    </xdr:to>
    <xdr:graphicFrame macro="">
      <xdr:nvGraphicFramePr>
        <xdr:cNvPr id="7" name="Chart 6">
          <a:extLst>
            <a:ext uri="{FF2B5EF4-FFF2-40B4-BE49-F238E27FC236}">
              <a16:creationId xmlns:a16="http://schemas.microsoft.com/office/drawing/2014/main" id="{DD24BF11-6957-4E5F-BFB7-CF7C23689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45</xdr:col>
      <xdr:colOff>0</xdr:colOff>
      <xdr:row>2</xdr:row>
      <xdr:rowOff>0</xdr:rowOff>
    </xdr:from>
    <xdr:to>
      <xdr:col>52</xdr:col>
      <xdr:colOff>297600</xdr:colOff>
      <xdr:row>32</xdr:row>
      <xdr:rowOff>3810</xdr:rowOff>
    </xdr:to>
    <xdr:graphicFrame macro="">
      <xdr:nvGraphicFramePr>
        <xdr:cNvPr id="8" name="Chart 7">
          <a:extLst>
            <a:ext uri="{FF2B5EF4-FFF2-40B4-BE49-F238E27FC236}">
              <a16:creationId xmlns:a16="http://schemas.microsoft.com/office/drawing/2014/main" id="{749B4616-5E38-4875-877A-DB8E33739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53</xdr:col>
      <xdr:colOff>7620</xdr:colOff>
      <xdr:row>2</xdr:row>
      <xdr:rowOff>0</xdr:rowOff>
    </xdr:from>
    <xdr:to>
      <xdr:col>60</xdr:col>
      <xdr:colOff>305220</xdr:colOff>
      <xdr:row>32</xdr:row>
      <xdr:rowOff>3810</xdr:rowOff>
    </xdr:to>
    <xdr:graphicFrame macro="">
      <xdr:nvGraphicFramePr>
        <xdr:cNvPr id="9" name="Chart 8">
          <a:extLst>
            <a:ext uri="{FF2B5EF4-FFF2-40B4-BE49-F238E27FC236}">
              <a16:creationId xmlns:a16="http://schemas.microsoft.com/office/drawing/2014/main" id="{6A917AD7-7139-4686-9D7F-AC068140F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61</xdr:col>
      <xdr:colOff>15240</xdr:colOff>
      <xdr:row>2</xdr:row>
      <xdr:rowOff>0</xdr:rowOff>
    </xdr:from>
    <xdr:to>
      <xdr:col>68</xdr:col>
      <xdr:colOff>312840</xdr:colOff>
      <xdr:row>32</xdr:row>
      <xdr:rowOff>3810</xdr:rowOff>
    </xdr:to>
    <xdr:graphicFrame macro="">
      <xdr:nvGraphicFramePr>
        <xdr:cNvPr id="10" name="Chart 9">
          <a:extLst>
            <a:ext uri="{FF2B5EF4-FFF2-40B4-BE49-F238E27FC236}">
              <a16:creationId xmlns:a16="http://schemas.microsoft.com/office/drawing/2014/main" id="{4DC27BB5-BABF-439A-A7C2-4AA3EACF9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69</xdr:col>
      <xdr:colOff>7620</xdr:colOff>
      <xdr:row>2</xdr:row>
      <xdr:rowOff>0</xdr:rowOff>
    </xdr:from>
    <xdr:to>
      <xdr:col>76</xdr:col>
      <xdr:colOff>305220</xdr:colOff>
      <xdr:row>32</xdr:row>
      <xdr:rowOff>3810</xdr:rowOff>
    </xdr:to>
    <xdr:graphicFrame macro="">
      <xdr:nvGraphicFramePr>
        <xdr:cNvPr id="11" name="Chart 10">
          <a:extLst>
            <a:ext uri="{FF2B5EF4-FFF2-40B4-BE49-F238E27FC236}">
              <a16:creationId xmlns:a16="http://schemas.microsoft.com/office/drawing/2014/main" id="{4F7543D1-F0DE-49F8-8CC5-0651CB592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0</xdr:colOff>
      <xdr:row>32</xdr:row>
      <xdr:rowOff>0</xdr:rowOff>
    </xdr:from>
    <xdr:to>
      <xdr:col>36</xdr:col>
      <xdr:colOff>297600</xdr:colOff>
      <xdr:row>47</xdr:row>
      <xdr:rowOff>0</xdr:rowOff>
    </xdr:to>
    <xdr:graphicFrame macro="">
      <xdr:nvGraphicFramePr>
        <xdr:cNvPr id="12" name="Chart 11">
          <a:extLst>
            <a:ext uri="{FF2B5EF4-FFF2-40B4-BE49-F238E27FC236}">
              <a16:creationId xmlns:a16="http://schemas.microsoft.com/office/drawing/2014/main" id="{F770AFE4-5FB1-461A-B79A-F7C57B718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37</xdr:col>
      <xdr:colOff>0</xdr:colOff>
      <xdr:row>32</xdr:row>
      <xdr:rowOff>0</xdr:rowOff>
    </xdr:from>
    <xdr:to>
      <xdr:col>44</xdr:col>
      <xdr:colOff>297600</xdr:colOff>
      <xdr:row>47</xdr:row>
      <xdr:rowOff>0</xdr:rowOff>
    </xdr:to>
    <xdr:graphicFrame macro="">
      <xdr:nvGraphicFramePr>
        <xdr:cNvPr id="13" name="Chart 12">
          <a:extLst>
            <a:ext uri="{FF2B5EF4-FFF2-40B4-BE49-F238E27FC236}">
              <a16:creationId xmlns:a16="http://schemas.microsoft.com/office/drawing/2014/main" id="{077EC0F5-8BAF-4D68-9F12-F9B2317B0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45</xdr:col>
      <xdr:colOff>0</xdr:colOff>
      <xdr:row>32</xdr:row>
      <xdr:rowOff>0</xdr:rowOff>
    </xdr:from>
    <xdr:to>
      <xdr:col>52</xdr:col>
      <xdr:colOff>297600</xdr:colOff>
      <xdr:row>47</xdr:row>
      <xdr:rowOff>0</xdr:rowOff>
    </xdr:to>
    <xdr:graphicFrame macro="">
      <xdr:nvGraphicFramePr>
        <xdr:cNvPr id="14" name="Chart 13">
          <a:extLst>
            <a:ext uri="{FF2B5EF4-FFF2-40B4-BE49-F238E27FC236}">
              <a16:creationId xmlns:a16="http://schemas.microsoft.com/office/drawing/2014/main" id="{82572A37-2B94-4A74-B68F-D5980C75D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53</xdr:col>
      <xdr:colOff>0</xdr:colOff>
      <xdr:row>32</xdr:row>
      <xdr:rowOff>0</xdr:rowOff>
    </xdr:from>
    <xdr:to>
      <xdr:col>60</xdr:col>
      <xdr:colOff>297600</xdr:colOff>
      <xdr:row>47</xdr:row>
      <xdr:rowOff>0</xdr:rowOff>
    </xdr:to>
    <xdr:graphicFrame macro="">
      <xdr:nvGraphicFramePr>
        <xdr:cNvPr id="15" name="Chart 14">
          <a:extLst>
            <a:ext uri="{FF2B5EF4-FFF2-40B4-BE49-F238E27FC236}">
              <a16:creationId xmlns:a16="http://schemas.microsoft.com/office/drawing/2014/main" id="{696858F8-47C6-492E-894C-5F4844A31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61</xdr:col>
      <xdr:colOff>0</xdr:colOff>
      <xdr:row>32</xdr:row>
      <xdr:rowOff>0</xdr:rowOff>
    </xdr:from>
    <xdr:to>
      <xdr:col>68</xdr:col>
      <xdr:colOff>297600</xdr:colOff>
      <xdr:row>47</xdr:row>
      <xdr:rowOff>0</xdr:rowOff>
    </xdr:to>
    <xdr:graphicFrame macro="">
      <xdr:nvGraphicFramePr>
        <xdr:cNvPr id="16" name="Chart 15">
          <a:extLst>
            <a:ext uri="{FF2B5EF4-FFF2-40B4-BE49-F238E27FC236}">
              <a16:creationId xmlns:a16="http://schemas.microsoft.com/office/drawing/2014/main" id="{2BB94C19-352D-48D8-95BB-28EDED356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69</xdr:col>
      <xdr:colOff>0</xdr:colOff>
      <xdr:row>32</xdr:row>
      <xdr:rowOff>0</xdr:rowOff>
    </xdr:from>
    <xdr:to>
      <xdr:col>76</xdr:col>
      <xdr:colOff>297600</xdr:colOff>
      <xdr:row>47</xdr:row>
      <xdr:rowOff>0</xdr:rowOff>
    </xdr:to>
    <xdr:graphicFrame macro="">
      <xdr:nvGraphicFramePr>
        <xdr:cNvPr id="17" name="Chart 16">
          <a:extLst>
            <a:ext uri="{FF2B5EF4-FFF2-40B4-BE49-F238E27FC236}">
              <a16:creationId xmlns:a16="http://schemas.microsoft.com/office/drawing/2014/main" id="{3D0AB434-D33D-4AA6-966D-54DBDE244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15240</xdr:colOff>
      <xdr:row>72</xdr:row>
      <xdr:rowOff>160020</xdr:rowOff>
    </xdr:from>
    <xdr:to>
      <xdr:col>20</xdr:col>
      <xdr:colOff>312840</xdr:colOff>
      <xdr:row>102</xdr:row>
      <xdr:rowOff>163830</xdr:rowOff>
    </xdr:to>
    <xdr:graphicFrame macro="">
      <xdr:nvGraphicFramePr>
        <xdr:cNvPr id="18" name="Chart 17">
          <a:extLst>
            <a:ext uri="{FF2B5EF4-FFF2-40B4-BE49-F238E27FC236}">
              <a16:creationId xmlns:a16="http://schemas.microsoft.com/office/drawing/2014/main" id="{17CA8B26-223D-4010-9673-8A97B61348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jaz Blatnik" refreshedDate="46204.40345046296" createdVersion="8" refreshedVersion="8" minRefreshableVersion="3" recordCount="31" xr:uid="{D0478321-2D0A-4BE5-8390-96B3EB5F5BBD}">
  <cacheSource type="worksheet">
    <worksheetSource name="Slovenia_Policies_Table"/>
  </cacheSource>
  <cacheFields count="20">
    <cacheField name="Country ID" numFmtId="0">
      <sharedItems containsSemiMixedTypes="0" containsString="0" containsNumber="1" containsInteger="1" minValue="11" maxValue="11"/>
    </cacheField>
    <cacheField name="Country" numFmtId="0">
      <sharedItems/>
    </cacheField>
    <cacheField name="Policy Date" numFmtId="14">
      <sharedItems containsSemiMixedTypes="0" containsNonDate="0" containsDate="1" containsString="0" minDate="2015-10-18T00:00:00" maxDate="2025-01-21T00:00:00" count="31">
        <d v="2015-10-18T00:00:00"/>
        <d v="2015-10-21T00:00:00"/>
        <d v="2015-10-22T00:00:00"/>
        <d v="2015-11-11T00:00:00"/>
        <d v="2016-02-23T00:00:00"/>
        <d v="2016-02-26T00:00:00"/>
        <d v="2016-03-05T00:00:00"/>
        <d v="2016-03-09T00:00:00"/>
        <d v="2016-04-24T00:00:00"/>
        <d v="2017-01-01T00:00:00"/>
        <d v="2017-01-26T00:00:00"/>
        <d v="2018-04-01T00:00:00"/>
        <d v="2018-10-17T00:00:00"/>
        <d v="2019-07-18T00:00:00"/>
        <d v="2019-08-22T00:00:00"/>
        <d v="2020-04-01T00:00:00"/>
        <d v="2021-03-26T00:00:00"/>
        <d v="2021-11-09T00:00:00"/>
        <d v="2022-06-22T00:00:00"/>
        <d v="2022-07-14T00:00:00"/>
        <d v="2022-12-01T00:00:00"/>
        <d v="2023-01-18T00:00:00"/>
        <d v="2023-03-28T00:00:00"/>
        <d v="2023-10-20T00:00:00"/>
        <d v="2023-12-15T00:00:00"/>
        <d v="2024-05-22T00:00:00"/>
        <d v="2024-06-19T00:00:00"/>
        <d v="2024-11-01T00:00:00"/>
        <d v="2024-12-20T00:00:00"/>
        <d v="2024-01-18T00:00:00"/>
        <d v="2025-01-20T00:00:00"/>
      </sharedItems>
      <fieldGroup par="19"/>
    </cacheField>
    <cacheField name="Policy / Decision / Event" numFmtId="0">
      <sharedItems/>
    </cacheField>
    <cacheField name="Category" numFmtId="0">
      <sharedItems/>
    </cacheField>
    <cacheField name="Calculated Rating" numFmtId="0">
      <sharedItems containsSemiMixedTypes="0" containsString="0" containsNumber="1" minValue="-3" maxValue="4"/>
    </cacheField>
    <cacheField name="Rating" numFmtId="0">
      <sharedItems containsSemiMixedTypes="0" containsString="0" containsNumber="1" containsInteger="1" minValue="-3" maxValue="4"/>
    </cacheField>
    <cacheField name="Impact on Country" numFmtId="0">
      <sharedItems containsSemiMixedTypes="0" containsString="0" containsNumber="1" containsInteger="1" minValue="0" maxValue="1"/>
    </cacheField>
    <cacheField name="Impact on Other Countries" numFmtId="0">
      <sharedItems containsSemiMixedTypes="0" containsString="0" containsNumber="1" containsInteger="1" minValue="-1" maxValue="1"/>
    </cacheField>
    <cacheField name="Impact on Migrants" numFmtId="0">
      <sharedItems containsSemiMixedTypes="0" containsString="0" containsNumber="1" containsInteger="1" minValue="-1" maxValue="1"/>
    </cacheField>
    <cacheField name="Impact on EU Relations" numFmtId="0">
      <sharedItems containsSemiMixedTypes="0" containsString="0" containsNumber="1" containsInteger="1" minValue="-1" maxValue="1"/>
    </cacheField>
    <cacheField name="Impact Value" numFmtId="43">
      <sharedItems containsSemiMixedTypes="0" containsString="0" containsNumber="1" minValue="0.33" maxValue="1"/>
    </cacheField>
    <cacheField name="Impact" numFmtId="0">
      <sharedItems/>
    </cacheField>
    <cacheField name="Impact Reasoning" numFmtId="0">
      <sharedItems/>
    </cacheField>
    <cacheField name="Source Name" numFmtId="0">
      <sharedItems/>
    </cacheField>
    <cacheField name="Main Source Link" numFmtId="0">
      <sharedItems/>
    </cacheField>
    <cacheField name="Total Records Analysed" numFmtId="0">
      <sharedItems containsSemiMixedTypes="0" containsString="0" containsNumber="1" containsInteger="1" minValue="3" maxValue="7"/>
    </cacheField>
    <cacheField name="Months (Policy Date)" numFmtId="0" databaseField="0">
      <fieldGroup base="2">
        <rangePr groupBy="months" startDate="2015-10-18T00:00:00" endDate="2025-01-21T00:00:00"/>
        <groupItems count="14">
          <s v="&lt;18.10.2015"/>
          <s v="jan"/>
          <s v="feb"/>
          <s v="mar"/>
          <s v="apr"/>
          <s v="maj"/>
          <s v="jun"/>
          <s v="jul"/>
          <s v="avg"/>
          <s v="sep"/>
          <s v="okt"/>
          <s v="nov"/>
          <s v="dec"/>
          <s v="&gt;21.01.2025"/>
        </groupItems>
      </fieldGroup>
    </cacheField>
    <cacheField name="Quarters (Policy Date)" numFmtId="0" databaseField="0">
      <fieldGroup base="2">
        <rangePr groupBy="quarters" startDate="2015-10-18T00:00:00" endDate="2025-01-21T00:00:00"/>
        <groupItems count="6">
          <s v="&lt;18.10.2015"/>
          <s v="Qtr1"/>
          <s v="Qtr2"/>
          <s v="Qtr3"/>
          <s v="Qtr4"/>
          <s v="&gt;21.01.2025"/>
        </groupItems>
      </fieldGroup>
    </cacheField>
    <cacheField name="Years (Policy Date)" numFmtId="0" databaseField="0">
      <fieldGroup base="2">
        <rangePr groupBy="years" startDate="2015-10-18T00:00:00" endDate="2025-01-21T00:00:00"/>
        <groupItems count="13">
          <s v="&lt;18.10.2015"/>
          <s v="2015"/>
          <s v="2016"/>
          <s v="2017"/>
          <s v="2018"/>
          <s v="2019"/>
          <s v="2020"/>
          <s v="2021"/>
          <s v="2022"/>
          <s v="2023"/>
          <s v="2024"/>
          <s v="2025"/>
          <s v="&gt;21.0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jaz Blatnik" refreshedDate="46204.410365393516" createdVersion="8" refreshedVersion="8" minRefreshableVersion="3" recordCount="27" xr:uid="{567A1FA1-D8DA-466C-894E-147F69BBAEFC}">
  <cacheSource type="worksheet">
    <worksheetSource name="Croatia_Policies_Table"/>
  </cacheSource>
  <cacheFields count="20">
    <cacheField name="Country ID" numFmtId="0">
      <sharedItems containsSemiMixedTypes="0" containsString="0" containsNumber="1" containsInteger="1" minValue="10" maxValue="10"/>
    </cacheField>
    <cacheField name="Country" numFmtId="0">
      <sharedItems/>
    </cacheField>
    <cacheField name="Date" numFmtId="14">
      <sharedItems containsSemiMixedTypes="0" containsNonDate="0" containsDate="1" containsString="0" minDate="2015-07-02T00:00:00" maxDate="2025-12-02T00:00:00" count="25">
        <d v="2015-07-02T00:00:00"/>
        <d v="2015-07-16T00:00:00"/>
        <d v="2015-09-01T00:00:00"/>
        <d v="2015-09-18T00:00:00"/>
        <d v="2015-11-01T00:00:00"/>
        <d v="2016-03-09T00:00:00"/>
        <d v="2016-07-01T00:00:00"/>
        <d v="2018-12-17T00:00:00"/>
        <d v="2019-05-10T00:00:00"/>
        <d v="2020-03-01T00:00:00"/>
        <d v="2020-03-19T00:00:00"/>
        <d v="2022-01-01T00:00:00"/>
        <d v="2022-04-04T00:00:00"/>
        <d v="2022-09-12T00:00:00"/>
        <d v="2023-01-01T00:00:00"/>
        <d v="2023-03-01T00:00:00"/>
        <d v="2023-03-17T00:00:00"/>
        <d v="2023-04-17T00:00:00"/>
        <d v="2023-04-18T00:00:00"/>
        <d v="2023-05-03T00:00:00"/>
        <d v="2023-05-23T00:00:00"/>
        <d v="2023-06-17T00:00:00"/>
        <d v="2024-09-01T00:00:00"/>
        <d v="2024-10-10T00:00:00"/>
        <d v="2025-12-01T00:00:00"/>
      </sharedItems>
      <fieldGroup par="19"/>
    </cacheField>
    <cacheField name="Policy / Decision / Event" numFmtId="0">
      <sharedItems/>
    </cacheField>
    <cacheField name="Category" numFmtId="0">
      <sharedItems/>
    </cacheField>
    <cacheField name="Calculated Rating" numFmtId="0">
      <sharedItems containsSemiMixedTypes="0" containsString="0" containsNumber="1" minValue="-4" maxValue="3"/>
    </cacheField>
    <cacheField name="Rating" numFmtId="0">
      <sharedItems containsSemiMixedTypes="0" containsString="0" containsNumber="1" containsInteger="1" minValue="-4" maxValue="4"/>
    </cacheField>
    <cacheField name="Impact on Country" numFmtId="0">
      <sharedItems containsSemiMixedTypes="0" containsString="0" containsNumber="1" containsInteger="1" minValue="-1" maxValue="1"/>
    </cacheField>
    <cacheField name="Impact on Other Countries" numFmtId="0">
      <sharedItems containsSemiMixedTypes="0" containsString="0" containsNumber="1" containsInteger="1" minValue="-1" maxValue="1"/>
    </cacheField>
    <cacheField name="Impact on Migrants" numFmtId="0">
      <sharedItems containsSemiMixedTypes="0" containsString="0" containsNumber="1" containsInteger="1" minValue="-1" maxValue="1"/>
    </cacheField>
    <cacheField name="Impact on EU Relations" numFmtId="0">
      <sharedItems containsSemiMixedTypes="0" containsString="0" containsNumber="1" containsInteger="1" minValue="-1" maxValue="1"/>
    </cacheField>
    <cacheField name="Impact Value" numFmtId="0">
      <sharedItems containsSemiMixedTypes="0" containsString="0" containsNumber="1" minValue="0.33" maxValue="1"/>
    </cacheField>
    <cacheField name="Impact" numFmtId="0">
      <sharedItems/>
    </cacheField>
    <cacheField name="Impact Reasoning" numFmtId="0">
      <sharedItems/>
    </cacheField>
    <cacheField name="Source Name" numFmtId="0">
      <sharedItems/>
    </cacheField>
    <cacheField name="Main Source Link" numFmtId="0">
      <sharedItems/>
    </cacheField>
    <cacheField name="Total Records Analysed" numFmtId="0">
      <sharedItems containsSemiMixedTypes="0" containsString="0" containsNumber="1" containsInteger="1" minValue="3" maxValue="9"/>
    </cacheField>
    <cacheField name="Months (Date)" numFmtId="0" databaseField="0">
      <fieldGroup base="2">
        <rangePr groupBy="months" startDate="2015-07-02T00:00:00" endDate="2025-12-02T00:00:00"/>
        <groupItems count="14">
          <s v="&lt;2.07.2015"/>
          <s v="jan"/>
          <s v="feb"/>
          <s v="mar"/>
          <s v="apr"/>
          <s v="maj"/>
          <s v="jun"/>
          <s v="jul"/>
          <s v="avg"/>
          <s v="sep"/>
          <s v="okt"/>
          <s v="nov"/>
          <s v="dec"/>
          <s v="&gt;2.12.2025"/>
        </groupItems>
      </fieldGroup>
    </cacheField>
    <cacheField name="Quarters (Date)" numFmtId="0" databaseField="0">
      <fieldGroup base="2">
        <rangePr groupBy="quarters" startDate="2015-07-02T00:00:00" endDate="2025-12-02T00:00:00"/>
        <groupItems count="6">
          <s v="&lt;2.07.2015"/>
          <s v="Qtr1"/>
          <s v="Qtr2"/>
          <s v="Qtr3"/>
          <s v="Qtr4"/>
          <s v="&gt;2.12.2025"/>
        </groupItems>
      </fieldGroup>
    </cacheField>
    <cacheField name="Years (Date)" numFmtId="0" databaseField="0">
      <fieldGroup base="2">
        <rangePr groupBy="years" startDate="2015-07-02T00:00:00" endDate="2025-12-02T00:00:00"/>
        <groupItems count="13">
          <s v="&lt;2.07.2015"/>
          <s v="2015"/>
          <s v="2016"/>
          <s v="2017"/>
          <s v="2018"/>
          <s v="2019"/>
          <s v="2020"/>
          <s v="2021"/>
          <s v="2022"/>
          <s v="2023"/>
          <s v="2024"/>
          <s v="2025"/>
          <s v="&gt;2.12.202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jaz Blatnik" refreshedDate="46204.417476967596" createdVersion="8" refreshedVersion="8" minRefreshableVersion="3" recordCount="21" xr:uid="{BEE46D98-6996-4FCD-9170-070A2DFE8784}">
  <cacheSource type="worksheet">
    <worksheetSource name="Bosnia_Policies_Table"/>
  </cacheSource>
  <cacheFields count="20">
    <cacheField name="Country ID" numFmtId="0">
      <sharedItems containsSemiMixedTypes="0" containsString="0" containsNumber="1" containsInteger="1" minValue="12" maxValue="12"/>
    </cacheField>
    <cacheField name="Country" numFmtId="0">
      <sharedItems/>
    </cacheField>
    <cacheField name="Date" numFmtId="14">
      <sharedItems containsSemiMixedTypes="0" containsNonDate="0" containsDate="1" containsString="0" minDate="2015-06-01T00:00:00" maxDate="2024-01-02T00:00:00" count="20">
        <d v="2015-06-01T00:00:00"/>
        <d v="2015-11-10T00:00:00"/>
        <d v="2016-02-19T00:00:00"/>
        <d v="2016-03-08T00:00:00"/>
        <d v="2016-03-30T00:00:00"/>
        <d v="2016-06-13T00:00:00"/>
        <d v="2016-07-15T00:00:00"/>
        <d v="2016-09-16T00:00:00"/>
        <d v="2017-10-01T00:00:00"/>
        <d v="2018-03-01T00:00:00"/>
        <d v="2018-06-19T00:00:00"/>
        <d v="2020-11-01T00:00:00"/>
        <d v="2020-12-23T00:00:00"/>
        <d v="2021-01-21T00:00:00"/>
        <d v="2021-11-19T00:00:00"/>
        <d v="2021-12-01T00:00:00"/>
        <d v="2022-12-09T00:00:00"/>
        <d v="2023-11-09T00:00:00"/>
        <d v="2023-12-01T00:00:00"/>
        <d v="2024-01-01T00:00:00"/>
      </sharedItems>
      <fieldGroup par="19"/>
    </cacheField>
    <cacheField name="Policy / Decision / Event" numFmtId="0">
      <sharedItems/>
    </cacheField>
    <cacheField name="Category" numFmtId="0">
      <sharedItems/>
    </cacheField>
    <cacheField name="Calculated Rating" numFmtId="0">
      <sharedItems containsSemiMixedTypes="0" containsString="0" containsNumber="1" minValue="-4" maxValue="3"/>
    </cacheField>
    <cacheField name="Rating" numFmtId="0">
      <sharedItems containsSemiMixedTypes="0" containsString="0" containsNumber="1" containsInteger="1" minValue="-4" maxValue="3"/>
    </cacheField>
    <cacheField name="Impact on Country" numFmtId="0">
      <sharedItems containsSemiMixedTypes="0" containsString="0" containsNumber="1" containsInteger="1" minValue="-1" maxValue="1"/>
    </cacheField>
    <cacheField name="Impact on Other Countries" numFmtId="0">
      <sharedItems containsSemiMixedTypes="0" containsString="0" containsNumber="1" containsInteger="1" minValue="-1" maxValue="1"/>
    </cacheField>
    <cacheField name="Impact on Migrants" numFmtId="0">
      <sharedItems containsSemiMixedTypes="0" containsString="0" containsNumber="1" containsInteger="1" minValue="-1" maxValue="1"/>
    </cacheField>
    <cacheField name="Impact on EU Relations" numFmtId="0">
      <sharedItems containsSemiMixedTypes="0" containsString="0" containsNumber="1" containsInteger="1" minValue="-1" maxValue="1"/>
    </cacheField>
    <cacheField name="Impact Value" numFmtId="0">
      <sharedItems containsSemiMixedTypes="0" containsString="0" containsNumber="1" minValue="0.33" maxValue="1"/>
    </cacheField>
    <cacheField name="Impact" numFmtId="0">
      <sharedItems/>
    </cacheField>
    <cacheField name="Impact Reasoning" numFmtId="0">
      <sharedItems/>
    </cacheField>
    <cacheField name="Source Name" numFmtId="0">
      <sharedItems/>
    </cacheField>
    <cacheField name="Main Source Link" numFmtId="0">
      <sharedItems/>
    </cacheField>
    <cacheField name="Total Records Analysed" numFmtId="0">
      <sharedItems containsSemiMixedTypes="0" containsString="0" containsNumber="1" containsInteger="1" minValue="3" maxValue="8"/>
    </cacheField>
    <cacheField name="Months (Date)" numFmtId="0" databaseField="0">
      <fieldGroup base="2">
        <rangePr groupBy="months" startDate="2015-06-01T00:00:00" endDate="2024-01-02T00:00:00"/>
        <groupItems count="14">
          <s v="&lt;1.06.2015"/>
          <s v="jan"/>
          <s v="feb"/>
          <s v="mar"/>
          <s v="apr"/>
          <s v="maj"/>
          <s v="jun"/>
          <s v="jul"/>
          <s v="avg"/>
          <s v="sep"/>
          <s v="okt"/>
          <s v="nov"/>
          <s v="dec"/>
          <s v="&gt;2.01.2024"/>
        </groupItems>
      </fieldGroup>
    </cacheField>
    <cacheField name="Quarters (Date)" numFmtId="0" databaseField="0">
      <fieldGroup base="2">
        <rangePr groupBy="quarters" startDate="2015-06-01T00:00:00" endDate="2024-01-02T00:00:00"/>
        <groupItems count="6">
          <s v="&lt;1.06.2015"/>
          <s v="Qtr1"/>
          <s v="Qtr2"/>
          <s v="Qtr3"/>
          <s v="Qtr4"/>
          <s v="&gt;2.01.2024"/>
        </groupItems>
      </fieldGroup>
    </cacheField>
    <cacheField name="Years (Date)" numFmtId="0" databaseField="0">
      <fieldGroup base="2">
        <rangePr groupBy="years" startDate="2015-06-01T00:00:00" endDate="2024-01-02T00:00:00"/>
        <groupItems count="12">
          <s v="&lt;1.06.2015"/>
          <s v="2015"/>
          <s v="2016"/>
          <s v="2017"/>
          <s v="2018"/>
          <s v="2019"/>
          <s v="2020"/>
          <s v="2021"/>
          <s v="2022"/>
          <s v="2023"/>
          <s v="2024"/>
          <s v="&gt;2.01.2024"/>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jaz Blatnik" refreshedDate="46204.417582060189" createdVersion="8" refreshedVersion="8" minRefreshableVersion="3" recordCount="25" xr:uid="{AB6D6C4A-979E-4104-9798-DD6CD857F202}">
  <cacheSource type="worksheet">
    <worksheetSource name="Serbia_Policies_Table"/>
  </cacheSource>
  <cacheFields count="20">
    <cacheField name="Country ID" numFmtId="0">
      <sharedItems containsSemiMixedTypes="0" containsString="0" containsNumber="1" containsInteger="1" minValue="7" maxValue="7"/>
    </cacheField>
    <cacheField name="Country" numFmtId="0">
      <sharedItems/>
    </cacheField>
    <cacheField name="Date" numFmtId="14">
      <sharedItems containsSemiMixedTypes="0" containsNonDate="0" containsDate="1" containsString="0" minDate="2015-09-01T00:00:00" maxDate="2025-01-25T00:00:00" count="24">
        <d v="2015-09-01T00:00:00"/>
        <d v="2015-09-15T00:00:00"/>
        <d v="2015-09-18T00:00:00"/>
        <d v="2015-09-25T00:00:00"/>
        <d v="2015-10-19T00:00:00"/>
        <d v="2015-11-03T00:00:00"/>
        <d v="2018-01-01T00:00:00"/>
        <d v="2018-02-14T00:00:00"/>
        <d v="2018-03-22T00:00:00"/>
        <d v="2018-12-11T00:00:00"/>
        <d v="2020-02-27T00:00:00"/>
        <d v="2020-03-01T00:00:00"/>
        <d v="2020-03-17T00:00:00"/>
        <d v="2023-02-28T00:00:00"/>
        <d v="2023-03-16T00:00:00"/>
        <d v="2023-10-28T00:00:00"/>
        <d v="2023-11-24T00:00:00"/>
        <d v="2024-01-29T00:00:00"/>
        <d v="2024-02-22T00:00:00"/>
        <d v="2024-03-01T00:00:00"/>
        <d v="2024-06-25T00:00:00"/>
        <d v="2024-10-22T00:00:00"/>
        <d v="2024-10-28T00:00:00"/>
        <d v="2025-01-24T00:00:00"/>
      </sharedItems>
      <fieldGroup par="19"/>
    </cacheField>
    <cacheField name="Policy / Decision / Event" numFmtId="0">
      <sharedItems/>
    </cacheField>
    <cacheField name="Category" numFmtId="0">
      <sharedItems/>
    </cacheField>
    <cacheField name="Calculated Rating" numFmtId="0">
      <sharedItems containsSemiMixedTypes="0" containsString="0" containsNumber="1" minValue="-4" maxValue="4"/>
    </cacheField>
    <cacheField name="Rating" numFmtId="0">
      <sharedItems containsSemiMixedTypes="0" containsString="0" containsNumber="1" containsInteger="1" minValue="-4" maxValue="4"/>
    </cacheField>
    <cacheField name="Impact on Country" numFmtId="0">
      <sharedItems containsSemiMixedTypes="0" containsString="0" containsNumber="1" containsInteger="1" minValue="-1" maxValue="1"/>
    </cacheField>
    <cacheField name="Impact on Other Countries" numFmtId="0">
      <sharedItems containsSemiMixedTypes="0" containsString="0" containsNumber="1" containsInteger="1" minValue="-1" maxValue="1"/>
    </cacheField>
    <cacheField name="Impact on Migrants" numFmtId="0">
      <sharedItems containsSemiMixedTypes="0" containsString="0" containsNumber="1" containsInteger="1" minValue="-1" maxValue="1"/>
    </cacheField>
    <cacheField name="Impact on EU Relations" numFmtId="0">
      <sharedItems containsSemiMixedTypes="0" containsString="0" containsNumber="1" containsInteger="1" minValue="-1" maxValue="1"/>
    </cacheField>
    <cacheField name="Impact Value" numFmtId="0">
      <sharedItems containsSemiMixedTypes="0" containsString="0" containsNumber="1" minValue="0.33" maxValue="1"/>
    </cacheField>
    <cacheField name="Impact" numFmtId="0">
      <sharedItems/>
    </cacheField>
    <cacheField name="Impact Reasoning" numFmtId="0">
      <sharedItems/>
    </cacheField>
    <cacheField name="Source Name" numFmtId="0">
      <sharedItems/>
    </cacheField>
    <cacheField name="Main Source Link" numFmtId="0">
      <sharedItems/>
    </cacheField>
    <cacheField name="Total Records Analysed" numFmtId="0">
      <sharedItems containsSemiMixedTypes="0" containsString="0" containsNumber="1" containsInteger="1" minValue="3" maxValue="9"/>
    </cacheField>
    <cacheField name="Months (Date)" numFmtId="0" databaseField="0">
      <fieldGroup base="2">
        <rangePr groupBy="months" startDate="2015-09-01T00:00:00" endDate="2025-01-25T00:00:00"/>
        <groupItems count="14">
          <s v="&lt;1.09.2015"/>
          <s v="jan"/>
          <s v="feb"/>
          <s v="mar"/>
          <s v="apr"/>
          <s v="maj"/>
          <s v="jun"/>
          <s v="jul"/>
          <s v="avg"/>
          <s v="sep"/>
          <s v="okt"/>
          <s v="nov"/>
          <s v="dec"/>
          <s v="&gt;25.01.2025"/>
        </groupItems>
      </fieldGroup>
    </cacheField>
    <cacheField name="Quarters (Date)" numFmtId="0" databaseField="0">
      <fieldGroup base="2">
        <rangePr groupBy="quarters" startDate="2015-09-01T00:00:00" endDate="2025-01-25T00:00:00"/>
        <groupItems count="6">
          <s v="&lt;1.09.2015"/>
          <s v="Qtr1"/>
          <s v="Qtr2"/>
          <s v="Qtr3"/>
          <s v="Qtr4"/>
          <s v="&gt;25.01.2025"/>
        </groupItems>
      </fieldGroup>
    </cacheField>
    <cacheField name="Years (Date)" numFmtId="0" databaseField="0">
      <fieldGroup base="2">
        <rangePr groupBy="years" startDate="2015-09-01T00:00:00" endDate="2025-01-25T00:00:00"/>
        <groupItems count="13">
          <s v="&lt;1.09.2015"/>
          <s v="2015"/>
          <s v="2016"/>
          <s v="2017"/>
          <s v="2018"/>
          <s v="2019"/>
          <s v="2020"/>
          <s v="2021"/>
          <s v="2022"/>
          <s v="2023"/>
          <s v="2024"/>
          <s v="2025"/>
          <s v="&gt;25.01.2025"/>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jaz Blatnik" refreshedDate="46204.417694328702" createdVersion="8" refreshedVersion="8" minRefreshableVersion="3" recordCount="11" xr:uid="{547ACAB4-825B-47B1-A4F6-43CABA4C0739}">
  <cacheSource type="worksheet">
    <worksheetSource name="Macedonia_Policies_Table"/>
  </cacheSource>
  <cacheFields count="20">
    <cacheField name="Country ID" numFmtId="0">
      <sharedItems containsSemiMixedTypes="0" containsString="0" containsNumber="1" containsInteger="1" minValue="13" maxValue="13"/>
    </cacheField>
    <cacheField name="Country" numFmtId="0">
      <sharedItems/>
    </cacheField>
    <cacheField name="Date" numFmtId="14">
      <sharedItems containsSemiMixedTypes="0" containsNonDate="0" containsDate="1" containsString="0" minDate="2015-06-01T00:00:00" maxDate="2023-09-02T00:00:00" count="11">
        <d v="2015-06-01T00:00:00"/>
        <d v="2015-08-20T00:00:00"/>
        <d v="2015-11-23T00:00:00"/>
        <d v="2015-11-28T00:00:00"/>
        <d v="2018-04-11T00:00:00"/>
        <d v="2020-03-17T00:00:00"/>
        <d v="2022-01-01T00:00:00"/>
        <d v="2022-02-01T00:00:00"/>
        <d v="2022-03-02T00:00:00"/>
        <d v="2022-10-13T00:00:00"/>
        <d v="2023-09-01T00:00:00"/>
      </sharedItems>
      <fieldGroup par="19"/>
    </cacheField>
    <cacheField name="Policy / Decision / Event" numFmtId="0">
      <sharedItems/>
    </cacheField>
    <cacheField name="Category" numFmtId="0">
      <sharedItems/>
    </cacheField>
    <cacheField name="Calculated Rating" numFmtId="0">
      <sharedItems containsSemiMixedTypes="0" containsString="0" containsNumber="1" minValue="-2" maxValue="3"/>
    </cacheField>
    <cacheField name="Rating" numFmtId="0">
      <sharedItems containsSemiMixedTypes="0" containsString="0" containsNumber="1" containsInteger="1" minValue="-2" maxValue="3"/>
    </cacheField>
    <cacheField name="Impact on Country" numFmtId="0">
      <sharedItems containsSemiMixedTypes="0" containsString="0" containsNumber="1" containsInteger="1" minValue="0" maxValue="1"/>
    </cacheField>
    <cacheField name="Impact on Other Countries" numFmtId="0">
      <sharedItems containsSemiMixedTypes="0" containsString="0" containsNumber="1" containsInteger="1" minValue="-1" maxValue="1"/>
    </cacheField>
    <cacheField name="Impact on Migrants" numFmtId="0">
      <sharedItems containsSemiMixedTypes="0" containsString="0" containsNumber="1" containsInteger="1" minValue="-1" maxValue="1"/>
    </cacheField>
    <cacheField name="Impact on EU Relations" numFmtId="0">
      <sharedItems containsSemiMixedTypes="0" containsString="0" containsNumber="1" containsInteger="1" minValue="-1" maxValue="1"/>
    </cacheField>
    <cacheField name="Impact Value" numFmtId="0">
      <sharedItems containsSemiMixedTypes="0" containsString="0" containsNumber="1" minValue="0.33" maxValue="1"/>
    </cacheField>
    <cacheField name="Impact" numFmtId="0">
      <sharedItems/>
    </cacheField>
    <cacheField name="Impact Reasoning" numFmtId="0">
      <sharedItems/>
    </cacheField>
    <cacheField name="Source Name" numFmtId="0">
      <sharedItems/>
    </cacheField>
    <cacheField name="Main Source Link" numFmtId="0">
      <sharedItems/>
    </cacheField>
    <cacheField name="Total Records Analysed" numFmtId="0">
      <sharedItems containsSemiMixedTypes="0" containsString="0" containsNumber="1" containsInteger="1" minValue="3" maxValue="7"/>
    </cacheField>
    <cacheField name="Months (Date)" numFmtId="0" databaseField="0">
      <fieldGroup base="2">
        <rangePr groupBy="months" startDate="2015-06-01T00:00:00" endDate="2023-09-02T00:00:00"/>
        <groupItems count="14">
          <s v="&lt;1.06.2015"/>
          <s v="jan"/>
          <s v="feb"/>
          <s v="mar"/>
          <s v="apr"/>
          <s v="maj"/>
          <s v="jun"/>
          <s v="jul"/>
          <s v="avg"/>
          <s v="sep"/>
          <s v="okt"/>
          <s v="nov"/>
          <s v="dec"/>
          <s v="&gt;2.09.2023"/>
        </groupItems>
      </fieldGroup>
    </cacheField>
    <cacheField name="Quarters (Date)" numFmtId="0" databaseField="0">
      <fieldGroup base="2">
        <rangePr groupBy="quarters" startDate="2015-06-01T00:00:00" endDate="2023-09-02T00:00:00"/>
        <groupItems count="6">
          <s v="&lt;1.06.2015"/>
          <s v="Qtr1"/>
          <s v="Qtr2"/>
          <s v="Qtr3"/>
          <s v="Qtr4"/>
          <s v="&gt;2.09.2023"/>
        </groupItems>
      </fieldGroup>
    </cacheField>
    <cacheField name="Years (Date)" numFmtId="0" databaseField="0">
      <fieldGroup base="2">
        <rangePr groupBy="years" startDate="2015-06-01T00:00:00" endDate="2023-09-02T00:00:00"/>
        <groupItems count="11">
          <s v="&lt;1.06.2015"/>
          <s v="2015"/>
          <s v="2016"/>
          <s v="2017"/>
          <s v="2018"/>
          <s v="2019"/>
          <s v="2020"/>
          <s v="2021"/>
          <s v="2022"/>
          <s v="2023"/>
          <s v="&gt;2.09.2023"/>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jaz Blatnik" refreshedDate="46204.417794791669" createdVersion="8" refreshedVersion="8" minRefreshableVersion="3" recordCount="5" xr:uid="{03237876-CBC3-4BEE-977F-48309BD6E7C8}">
  <cacheSource type="worksheet">
    <worksheetSource name="Montenegro_Policies_Table"/>
  </cacheSource>
  <cacheFields count="20">
    <cacheField name="Country ID" numFmtId="0">
      <sharedItems containsSemiMixedTypes="0" containsString="0" containsNumber="1" containsInteger="1" minValue="8" maxValue="8"/>
    </cacheField>
    <cacheField name="Country" numFmtId="0">
      <sharedItems/>
    </cacheField>
    <cacheField name="Date" numFmtId="14">
      <sharedItems containsSemiMixedTypes="0" containsNonDate="0" containsDate="1" containsString="0" minDate="2015-11-01T00:00:00" maxDate="2023-05-17T00:00:00" count="5">
        <d v="2015-11-01T00:00:00"/>
        <d v="2016-12-29T00:00:00"/>
        <d v="2018-02-19T00:00:00"/>
        <d v="2021-10-01T00:00:00"/>
        <d v="2023-05-16T00:00:00"/>
      </sharedItems>
      <fieldGroup par="19"/>
    </cacheField>
    <cacheField name="Policy / Decision / Event" numFmtId="0">
      <sharedItems/>
    </cacheField>
    <cacheField name="Category" numFmtId="0">
      <sharedItems/>
    </cacheField>
    <cacheField name="Calculated Rating" numFmtId="0">
      <sharedItems containsSemiMixedTypes="0" containsString="0" containsNumber="1" minValue="0.66" maxValue="1.98"/>
    </cacheField>
    <cacheField name="Rating" numFmtId="0">
      <sharedItems containsSemiMixedTypes="0" containsString="0" containsNumber="1" containsInteger="1" minValue="2" maxValue="3"/>
    </cacheField>
    <cacheField name="Impact on Country" numFmtId="0">
      <sharedItems containsSemiMixedTypes="0" containsString="0" containsNumber="1" containsInteger="1" minValue="1" maxValue="1"/>
    </cacheField>
    <cacheField name="Impact on Other Countries" numFmtId="0">
      <sharedItems containsSemiMixedTypes="0" containsString="0" containsNumber="1" containsInteger="1" minValue="0" maxValue="1"/>
    </cacheField>
    <cacheField name="Impact on Migrants" numFmtId="0">
      <sharedItems containsSemiMixedTypes="0" containsString="0" containsNumber="1" containsInteger="1" minValue="-1" maxValue="1"/>
    </cacheField>
    <cacheField name="Impact on EU Relations" numFmtId="0">
      <sharedItems containsSemiMixedTypes="0" containsString="0" containsNumber="1" containsInteger="1" minValue="1" maxValue="1"/>
    </cacheField>
    <cacheField name="Impact Value" numFmtId="0">
      <sharedItems containsSemiMixedTypes="0" containsString="0" containsNumber="1" minValue="0.33" maxValue="0.66"/>
    </cacheField>
    <cacheField name="Impact" numFmtId="0">
      <sharedItems/>
    </cacheField>
    <cacheField name="Impact Reasoning" numFmtId="0">
      <sharedItems/>
    </cacheField>
    <cacheField name="Source Name" numFmtId="0">
      <sharedItems/>
    </cacheField>
    <cacheField name="Main Source Link" numFmtId="0">
      <sharedItems/>
    </cacheField>
    <cacheField name="Total Records Analysed" numFmtId="0">
      <sharedItems containsSemiMixedTypes="0" containsString="0" containsNumber="1" containsInteger="1" minValue="3" maxValue="4"/>
    </cacheField>
    <cacheField name="Months (Date)" numFmtId="0" databaseField="0">
      <fieldGroup base="2">
        <rangePr groupBy="months" startDate="2015-11-01T00:00:00" endDate="2023-05-17T00:00:00"/>
        <groupItems count="14">
          <s v="&lt;1.11.2015"/>
          <s v="jan"/>
          <s v="feb"/>
          <s v="mar"/>
          <s v="apr"/>
          <s v="maj"/>
          <s v="jun"/>
          <s v="jul"/>
          <s v="avg"/>
          <s v="sep"/>
          <s v="okt"/>
          <s v="nov"/>
          <s v="dec"/>
          <s v="&gt;17.05.2023"/>
        </groupItems>
      </fieldGroup>
    </cacheField>
    <cacheField name="Quarters (Date)" numFmtId="0" databaseField="0">
      <fieldGroup base="2">
        <rangePr groupBy="quarters" startDate="2015-11-01T00:00:00" endDate="2023-05-17T00:00:00"/>
        <groupItems count="6">
          <s v="&lt;1.11.2015"/>
          <s v="Qtr1"/>
          <s v="Qtr2"/>
          <s v="Qtr3"/>
          <s v="Qtr4"/>
          <s v="&gt;17.05.2023"/>
        </groupItems>
      </fieldGroup>
    </cacheField>
    <cacheField name="Years (Date)" numFmtId="0" databaseField="0">
      <fieldGroup base="2">
        <rangePr groupBy="years" startDate="2015-11-01T00:00:00" endDate="2023-05-17T00:00:00"/>
        <groupItems count="11">
          <s v="&lt;1.11.2015"/>
          <s v="2015"/>
          <s v="2016"/>
          <s v="2017"/>
          <s v="2018"/>
          <s v="2019"/>
          <s v="2020"/>
          <s v="2021"/>
          <s v="2022"/>
          <s v="2023"/>
          <s v="&gt;17.05.2023"/>
        </groupItems>
      </fieldGroup>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jaz Blatnik" refreshedDate="46204.417897106483" createdVersion="8" refreshedVersion="8" minRefreshableVersion="3" recordCount="8" xr:uid="{6C6F6B8F-EBB7-42C9-94A6-ABCFFDD6301D}">
  <cacheSource type="worksheet">
    <worksheetSource name="Albania_Policies_Table"/>
  </cacheSource>
  <cacheFields count="20">
    <cacheField name="Country ID" numFmtId="0">
      <sharedItems containsSemiMixedTypes="0" containsString="0" containsNumber="1" containsInteger="1" minValue="5" maxValue="5"/>
    </cacheField>
    <cacheField name="Country" numFmtId="0">
      <sharedItems/>
    </cacheField>
    <cacheField name="Date" numFmtId="14">
      <sharedItems containsSemiMixedTypes="0" containsNonDate="0" containsDate="1" containsString="0" minDate="2016-06-04T00:00:00" maxDate="2024-10-12T00:00:00" count="8">
        <d v="2016-06-04T00:00:00"/>
        <d v="2016-07-14T00:00:00"/>
        <d v="2019-08-15T00:00:00"/>
        <d v="2020-07-29T00:00:00"/>
        <d v="2021-02-01T00:00:00"/>
        <d v="2023-10-15T00:00:00"/>
        <d v="2024-05-15T00:00:00"/>
        <d v="2024-10-11T00:00:00"/>
      </sharedItems>
      <fieldGroup par="19"/>
    </cacheField>
    <cacheField name="Policy / Decision / Event" numFmtId="0">
      <sharedItems/>
    </cacheField>
    <cacheField name="Category" numFmtId="0">
      <sharedItems/>
    </cacheField>
    <cacheField name="Calculated Rating" numFmtId="0">
      <sharedItems containsSemiMixedTypes="0" containsString="0" containsNumber="1" minValue="-3" maxValue="3"/>
    </cacheField>
    <cacheField name="Rating" numFmtId="0">
      <sharedItems containsSemiMixedTypes="0" containsString="0" containsNumber="1" containsInteger="1" minValue="-3" maxValue="3"/>
    </cacheField>
    <cacheField name="Impact on Country" numFmtId="0">
      <sharedItems containsSemiMixedTypes="0" containsString="0" containsNumber="1" containsInteger="1" minValue="0" maxValue="1"/>
    </cacheField>
    <cacheField name="Impact on Other Countries" numFmtId="0">
      <sharedItems containsSemiMixedTypes="0" containsString="0" containsNumber="1" containsInteger="1" minValue="-1" maxValue="1"/>
    </cacheField>
    <cacheField name="Impact on Migrants" numFmtId="0">
      <sharedItems containsSemiMixedTypes="0" containsString="0" containsNumber="1" containsInteger="1" minValue="-1" maxValue="1"/>
    </cacheField>
    <cacheField name="Impact on EU Relations" numFmtId="0">
      <sharedItems containsSemiMixedTypes="0" containsString="0" containsNumber="1" containsInteger="1" minValue="-1" maxValue="1"/>
    </cacheField>
    <cacheField name="Impact Value" numFmtId="0">
      <sharedItems containsSemiMixedTypes="0" containsString="0" containsNumber="1" minValue="0.33" maxValue="1"/>
    </cacheField>
    <cacheField name="Impact" numFmtId="0">
      <sharedItems/>
    </cacheField>
    <cacheField name="Impact Reasoning" numFmtId="0">
      <sharedItems/>
    </cacheField>
    <cacheField name="Source Name" numFmtId="0">
      <sharedItems/>
    </cacheField>
    <cacheField name="Main Source Link" numFmtId="0">
      <sharedItems/>
    </cacheField>
    <cacheField name="Total Records Analysed" numFmtId="0">
      <sharedItems containsSemiMixedTypes="0" containsString="0" containsNumber="1" containsInteger="1" minValue="3" maxValue="8"/>
    </cacheField>
    <cacheField name="Months (Date)" numFmtId="0" databaseField="0">
      <fieldGroup base="2">
        <rangePr groupBy="months" startDate="2016-06-04T00:00:00" endDate="2024-10-12T00:00:00"/>
        <groupItems count="14">
          <s v="&lt;4.06.2016"/>
          <s v="jan"/>
          <s v="feb"/>
          <s v="mar"/>
          <s v="apr"/>
          <s v="maj"/>
          <s v="jun"/>
          <s v="jul"/>
          <s v="avg"/>
          <s v="sep"/>
          <s v="okt"/>
          <s v="nov"/>
          <s v="dec"/>
          <s v="&gt;12.10.2024"/>
        </groupItems>
      </fieldGroup>
    </cacheField>
    <cacheField name="Quarters (Date)" numFmtId="0" databaseField="0">
      <fieldGroup base="2">
        <rangePr groupBy="quarters" startDate="2016-06-04T00:00:00" endDate="2024-10-12T00:00:00"/>
        <groupItems count="6">
          <s v="&lt;4.06.2016"/>
          <s v="Qtr1"/>
          <s v="Qtr2"/>
          <s v="Qtr3"/>
          <s v="Qtr4"/>
          <s v="&gt;12.10.2024"/>
        </groupItems>
      </fieldGroup>
    </cacheField>
    <cacheField name="Years (Date)" numFmtId="0" databaseField="0">
      <fieldGroup base="2">
        <rangePr groupBy="years" startDate="2016-06-04T00:00:00" endDate="2024-10-12T00:00:00"/>
        <groupItems count="11">
          <s v="&lt;4.06.2016"/>
          <s v="2016"/>
          <s v="2017"/>
          <s v="2018"/>
          <s v="2019"/>
          <s v="2020"/>
          <s v="2021"/>
          <s v="2022"/>
          <s v="2023"/>
          <s v="2024"/>
          <s v="&gt;12.10.2024"/>
        </groupItems>
      </fieldGroup>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jaz Blatnik" refreshedDate="46204.41799652778" createdVersion="8" refreshedVersion="8" minRefreshableVersion="3" recordCount="5" xr:uid="{CDDE849F-A05A-41E7-B226-CCA19C982334}">
  <cacheSource type="worksheet">
    <worksheetSource name="Kosovo_Policies_Table"/>
  </cacheSource>
  <cacheFields count="20">
    <cacheField name="Country ID" numFmtId="0">
      <sharedItems containsSemiMixedTypes="0" containsString="0" containsNumber="1" containsInteger="1" minValue="9" maxValue="9"/>
    </cacheField>
    <cacheField name="Country" numFmtId="0">
      <sharedItems/>
    </cacheField>
    <cacheField name="Date" numFmtId="14">
      <sharedItems containsSemiMixedTypes="0" containsNonDate="0" containsDate="1" containsString="0" minDate="2016-04-01T00:00:00" maxDate="2021-01-02T00:00:00" count="5">
        <d v="2016-04-01T00:00:00"/>
        <d v="2018-01-01T00:00:00"/>
        <d v="2018-05-15T00:00:00"/>
        <d v="2019-07-24T00:00:00"/>
        <d v="2021-01-01T00:00:00"/>
      </sharedItems>
      <fieldGroup par="19"/>
    </cacheField>
    <cacheField name="Policy / Decision / Event" numFmtId="0">
      <sharedItems/>
    </cacheField>
    <cacheField name="Category" numFmtId="0">
      <sharedItems/>
    </cacheField>
    <cacheField name="Calculated Rating" numFmtId="0">
      <sharedItems containsSemiMixedTypes="0" containsString="0" containsNumber="1" minValue="0" maxValue="3"/>
    </cacheField>
    <cacheField name="Rating" numFmtId="0">
      <sharedItems containsSemiMixedTypes="0" containsString="0" containsNumber="1" containsInteger="1" minValue="0" maxValue="3"/>
    </cacheField>
    <cacheField name="Impact on Country" numFmtId="0">
      <sharedItems containsSemiMixedTypes="0" containsString="0" containsNumber="1" containsInteger="1" minValue="1" maxValue="1"/>
    </cacheField>
    <cacheField name="Impact on Other Countries" numFmtId="0">
      <sharedItems containsSemiMixedTypes="0" containsString="0" containsNumber="1" containsInteger="1" minValue="0" maxValue="0"/>
    </cacheField>
    <cacheField name="Impact on Migrants" numFmtId="0">
      <sharedItems containsSemiMixedTypes="0" containsString="0" containsNumber="1" containsInteger="1" minValue="-1" maxValue="1"/>
    </cacheField>
    <cacheField name="Impact on EU Relations" numFmtId="0">
      <sharedItems containsSemiMixedTypes="0" containsString="0" containsNumber="1" containsInteger="1" minValue="0" maxValue="1"/>
    </cacheField>
    <cacheField name="Impact Value" numFmtId="0">
      <sharedItems containsSemiMixedTypes="0" containsString="0" containsNumber="1" minValue="0.33" maxValue="1"/>
    </cacheField>
    <cacheField name="Impact" numFmtId="0">
      <sharedItems/>
    </cacheField>
    <cacheField name="Impact Reasoning" numFmtId="0">
      <sharedItems/>
    </cacheField>
    <cacheField name="Source Name" numFmtId="0">
      <sharedItems/>
    </cacheField>
    <cacheField name="Main Source Link" numFmtId="0">
      <sharedItems/>
    </cacheField>
    <cacheField name="Total Records Analysed" numFmtId="0">
      <sharedItems containsSemiMixedTypes="0" containsString="0" containsNumber="1" containsInteger="1" minValue="3" maxValue="4"/>
    </cacheField>
    <cacheField name="Months (Date)" numFmtId="0" databaseField="0">
      <fieldGroup base="2">
        <rangePr groupBy="months" startDate="2016-04-01T00:00:00" endDate="2021-01-02T00:00:00"/>
        <groupItems count="14">
          <s v="&lt;1.04.2016"/>
          <s v="jan"/>
          <s v="feb"/>
          <s v="mar"/>
          <s v="apr"/>
          <s v="maj"/>
          <s v="jun"/>
          <s v="jul"/>
          <s v="avg"/>
          <s v="sep"/>
          <s v="okt"/>
          <s v="nov"/>
          <s v="dec"/>
          <s v="&gt;2.01.2021"/>
        </groupItems>
      </fieldGroup>
    </cacheField>
    <cacheField name="Quarters (Date)" numFmtId="0" databaseField="0">
      <fieldGroup base="2">
        <rangePr groupBy="quarters" startDate="2016-04-01T00:00:00" endDate="2021-01-02T00:00:00"/>
        <groupItems count="6">
          <s v="&lt;1.04.2016"/>
          <s v="Qtr1"/>
          <s v="Qtr2"/>
          <s v="Qtr3"/>
          <s v="Qtr4"/>
          <s v="&gt;2.01.2021"/>
        </groupItems>
      </fieldGroup>
    </cacheField>
    <cacheField name="Years (Date)" numFmtId="0" databaseField="0">
      <fieldGroup base="2">
        <rangePr groupBy="years" startDate="2016-04-01T00:00:00" endDate="2021-01-02T00:00:00"/>
        <groupItems count="8">
          <s v="&lt;1.04.2016"/>
          <s v="2016"/>
          <s v="2017"/>
          <s v="2018"/>
          <s v="2019"/>
          <s v="2020"/>
          <s v="2021"/>
          <s v="&gt;2.01.2021"/>
        </groupItems>
      </fieldGroup>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jaz Blatnik" refreshedDate="46204.418144560186" createdVersion="8" refreshedVersion="8" minRefreshableVersion="3" recordCount="13" xr:uid="{FB7123A8-2E0F-4F24-9839-27ADA0167CB0}">
  <cacheSource type="worksheet">
    <worksheetSource name="Hungary_Policies_Table"/>
  </cacheSource>
  <cacheFields count="20">
    <cacheField name="Country ID" numFmtId="0">
      <sharedItems containsSemiMixedTypes="0" containsString="0" containsNumber="1" containsInteger="1" minValue="2" maxValue="2"/>
    </cacheField>
    <cacheField name="Country" numFmtId="0">
      <sharedItems/>
    </cacheField>
    <cacheField name="Date" numFmtId="14">
      <sharedItems containsSemiMixedTypes="0" containsNonDate="0" containsDate="1" containsString="0" minDate="2015-06-23T00:00:00" maxDate="2025-05-28T00:00:00" count="13">
        <d v="2015-06-23T00:00:00"/>
        <d v="2015-09-15T00:00:00"/>
        <d v="2015-10-17T00:00:00"/>
        <d v="2016-01-01T00:00:00"/>
        <d v="2016-07-14T00:00:00"/>
        <d v="2016-10-03T00:00:00"/>
        <d v="2017-03-09T00:00:00"/>
        <d v="2018-06-20T00:00:00"/>
        <d v="2020-03-11T00:00:00"/>
        <d v="2020-05-22T00:00:00"/>
        <d v="2021-01-01T00:00:00"/>
        <d v="2025-05-03T00:00:00"/>
        <d v="2025-05-27T00:00:00"/>
      </sharedItems>
      <fieldGroup par="19"/>
    </cacheField>
    <cacheField name="Policy / Decision / Event" numFmtId="0">
      <sharedItems/>
    </cacheField>
    <cacheField name="Category" numFmtId="0">
      <sharedItems/>
    </cacheField>
    <cacheField name="Calculated Rating" numFmtId="0">
      <sharedItems containsSemiMixedTypes="0" containsString="0" containsNumber="1" minValue="-3" maxValue="-0.66"/>
    </cacheField>
    <cacheField name="Rating" numFmtId="0">
      <sharedItems containsSemiMixedTypes="0" containsString="0" containsNumber="1" containsInteger="1" minValue="-3" maxValue="-1"/>
    </cacheField>
    <cacheField name="Impact on Country" numFmtId="0">
      <sharedItems containsSemiMixedTypes="0" containsString="0" containsNumber="1" containsInteger="1" minValue="-1" maxValue="1"/>
    </cacheField>
    <cacheField name="Impact on Other Countries" numFmtId="0">
      <sharedItems containsSemiMixedTypes="0" containsString="0" containsNumber="1" containsInteger="1" minValue="-1" maxValue="0"/>
    </cacheField>
    <cacheField name="Impact on Migrants" numFmtId="0">
      <sharedItems containsSemiMixedTypes="0" containsString="0" containsNumber="1" containsInteger="1" minValue="-1" maxValue="0"/>
    </cacheField>
    <cacheField name="Impact on EU Relations" numFmtId="0">
      <sharedItems containsSemiMixedTypes="0" containsString="0" containsNumber="1" containsInteger="1" minValue="-1" maxValue="0"/>
    </cacheField>
    <cacheField name="Impact Value" numFmtId="0">
      <sharedItems containsSemiMixedTypes="0" containsString="0" containsNumber="1" minValue="0.66" maxValue="1"/>
    </cacheField>
    <cacheField name="Impact" numFmtId="0">
      <sharedItems/>
    </cacheField>
    <cacheField name="Impact Reasoning" numFmtId="0">
      <sharedItems/>
    </cacheField>
    <cacheField name="Source Name" numFmtId="0">
      <sharedItems/>
    </cacheField>
    <cacheField name="Source Link" numFmtId="0">
      <sharedItems/>
    </cacheField>
    <cacheField name="Number of Records Used" numFmtId="0">
      <sharedItems containsSemiMixedTypes="0" containsString="0" containsNumber="1" containsInteger="1" minValue="4" maxValue="8"/>
    </cacheField>
    <cacheField name="Months (Date)" numFmtId="0" databaseField="0">
      <fieldGroup base="2">
        <rangePr groupBy="months" startDate="2015-06-23T00:00:00" endDate="2025-05-28T00:00:00"/>
        <groupItems count="14">
          <s v="&lt;23.06.2015"/>
          <s v="jan"/>
          <s v="feb"/>
          <s v="mar"/>
          <s v="apr"/>
          <s v="maj"/>
          <s v="jun"/>
          <s v="jul"/>
          <s v="avg"/>
          <s v="sep"/>
          <s v="okt"/>
          <s v="nov"/>
          <s v="dec"/>
          <s v="&gt;28.05.2025"/>
        </groupItems>
      </fieldGroup>
    </cacheField>
    <cacheField name="Quarters (Date)" numFmtId="0" databaseField="0">
      <fieldGroup base="2">
        <rangePr groupBy="quarters" startDate="2015-06-23T00:00:00" endDate="2025-05-28T00:00:00"/>
        <groupItems count="6">
          <s v="&lt;23.06.2015"/>
          <s v="Qtr1"/>
          <s v="Qtr2"/>
          <s v="Qtr3"/>
          <s v="Qtr4"/>
          <s v="&gt;28.05.2025"/>
        </groupItems>
      </fieldGroup>
    </cacheField>
    <cacheField name="Years (Date)" numFmtId="0" databaseField="0">
      <fieldGroup base="2">
        <rangePr groupBy="years" startDate="2015-06-23T00:00:00" endDate="2025-05-28T00:00:00"/>
        <groupItems count="13">
          <s v="&lt;23.06.2015"/>
          <s v="2015"/>
          <s v="2016"/>
          <s v="2017"/>
          <s v="2018"/>
          <s v="2019"/>
          <s v="2020"/>
          <s v="2021"/>
          <s v="2022"/>
          <s v="2023"/>
          <s v="2024"/>
          <s v="2025"/>
          <s v="&gt;28.05.2025"/>
        </groupItems>
      </fieldGroup>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jaz Blatnik" refreshedDate="46241.320929629626" createdVersion="8" refreshedVersion="8" minRefreshableVersion="3" recordCount="146" xr:uid="{8834AA0C-53C5-470D-A6F1-B8E171533686}">
  <cacheSource type="worksheet">
    <worksheetSource name="Western_Balkans_Policies"/>
  </cacheSource>
  <cacheFields count="20">
    <cacheField name="Country ID" numFmtId="0">
      <sharedItems containsSemiMixedTypes="0" containsString="0" containsNumber="1" containsInteger="1" minValue="2" maxValue="13"/>
    </cacheField>
    <cacheField name="Country" numFmtId="0">
      <sharedItems/>
    </cacheField>
    <cacheField name="Policy Date" numFmtId="14">
      <sharedItems containsSemiMixedTypes="0" containsNonDate="0" containsDate="1" containsString="0" minDate="2015-06-01T00:00:00" maxDate="2025-12-02T00:00:00" count="130">
        <d v="2015-10-18T00:00:00"/>
        <d v="2015-10-21T00:00:00"/>
        <d v="2015-10-22T00:00:00"/>
        <d v="2015-11-11T00:00:00"/>
        <d v="2016-02-23T00:00:00"/>
        <d v="2016-02-26T00:00:00"/>
        <d v="2016-03-05T00:00:00"/>
        <d v="2016-03-09T00:00:00"/>
        <d v="2016-04-24T00:00:00"/>
        <d v="2017-01-01T00:00:00"/>
        <d v="2017-01-26T00:00:00"/>
        <d v="2018-04-01T00:00:00"/>
        <d v="2018-10-17T00:00:00"/>
        <d v="2019-07-18T00:00:00"/>
        <d v="2019-08-22T00:00:00"/>
        <d v="2020-04-01T00:00:00"/>
        <d v="2021-03-26T00:00:00"/>
        <d v="2021-11-09T00:00:00"/>
        <d v="2022-06-22T00:00:00"/>
        <d v="2022-07-14T00:00:00"/>
        <d v="2022-12-01T00:00:00"/>
        <d v="2023-01-18T00:00:00"/>
        <d v="2023-03-28T00:00:00"/>
        <d v="2023-10-20T00:00:00"/>
        <d v="2023-12-15T00:00:00"/>
        <d v="2024-05-22T00:00:00"/>
        <d v="2024-06-19T00:00:00"/>
        <d v="2024-11-01T00:00:00"/>
        <d v="2024-12-20T00:00:00"/>
        <d v="2024-01-18T00:00:00"/>
        <d v="2025-01-20T00:00:00"/>
        <d v="2015-07-02T00:00:00"/>
        <d v="2015-07-16T00:00:00"/>
        <d v="2015-09-01T00:00:00"/>
        <d v="2015-09-18T00:00:00"/>
        <d v="2015-11-01T00:00:00"/>
        <d v="2016-07-01T00:00:00"/>
        <d v="2018-12-17T00:00:00"/>
        <d v="2019-05-10T00:00:00"/>
        <d v="2020-03-01T00:00:00"/>
        <d v="2020-03-19T00:00:00"/>
        <d v="2022-01-01T00:00:00"/>
        <d v="2022-04-04T00:00:00"/>
        <d v="2022-09-12T00:00:00"/>
        <d v="2023-01-01T00:00:00"/>
        <d v="2023-03-01T00:00:00"/>
        <d v="2023-03-17T00:00:00"/>
        <d v="2023-04-17T00:00:00"/>
        <d v="2023-04-18T00:00:00"/>
        <d v="2023-05-03T00:00:00"/>
        <d v="2023-05-23T00:00:00"/>
        <d v="2023-06-17T00:00:00"/>
        <d v="2024-09-01T00:00:00"/>
        <d v="2024-10-10T00:00:00"/>
        <d v="2025-12-01T00:00:00"/>
        <d v="2015-06-01T00:00:00"/>
        <d v="2015-11-10T00:00:00"/>
        <d v="2016-02-19T00:00:00"/>
        <d v="2016-03-08T00:00:00"/>
        <d v="2016-03-30T00:00:00"/>
        <d v="2016-06-13T00:00:00"/>
        <d v="2016-07-15T00:00:00"/>
        <d v="2016-09-16T00:00:00"/>
        <d v="2017-10-01T00:00:00"/>
        <d v="2018-03-01T00:00:00"/>
        <d v="2018-06-19T00:00:00"/>
        <d v="2020-11-01T00:00:00"/>
        <d v="2020-12-23T00:00:00"/>
        <d v="2021-01-21T00:00:00"/>
        <d v="2021-11-19T00:00:00"/>
        <d v="2021-12-01T00:00:00"/>
        <d v="2022-12-09T00:00:00"/>
        <d v="2023-11-09T00:00:00"/>
        <d v="2023-12-01T00:00:00"/>
        <d v="2024-01-01T00:00:00"/>
        <d v="2015-09-15T00:00:00"/>
        <d v="2015-09-25T00:00:00"/>
        <d v="2015-10-19T00:00:00"/>
        <d v="2015-11-03T00:00:00"/>
        <d v="2018-01-01T00:00:00"/>
        <d v="2018-02-14T00:00:00"/>
        <d v="2018-03-22T00:00:00"/>
        <d v="2018-12-11T00:00:00"/>
        <d v="2020-02-27T00:00:00"/>
        <d v="2020-03-17T00:00:00"/>
        <d v="2023-02-28T00:00:00"/>
        <d v="2023-03-16T00:00:00"/>
        <d v="2023-10-28T00:00:00"/>
        <d v="2023-11-24T00:00:00"/>
        <d v="2024-01-29T00:00:00"/>
        <d v="2024-02-22T00:00:00"/>
        <d v="2024-03-01T00:00:00"/>
        <d v="2024-06-25T00:00:00"/>
        <d v="2024-10-22T00:00:00"/>
        <d v="2024-10-28T00:00:00"/>
        <d v="2025-01-24T00:00:00"/>
        <d v="2015-08-20T00:00:00"/>
        <d v="2015-11-23T00:00:00"/>
        <d v="2015-11-28T00:00:00"/>
        <d v="2018-04-11T00:00:00"/>
        <d v="2022-02-01T00:00:00"/>
        <d v="2022-03-02T00:00:00"/>
        <d v="2022-10-13T00:00:00"/>
        <d v="2023-09-01T00:00:00"/>
        <d v="2016-12-29T00:00:00"/>
        <d v="2018-02-19T00:00:00"/>
        <d v="2021-10-01T00:00:00"/>
        <d v="2023-05-16T00:00:00"/>
        <d v="2016-06-04T00:00:00"/>
        <d v="2016-07-14T00:00:00"/>
        <d v="2019-08-15T00:00:00"/>
        <d v="2020-07-29T00:00:00"/>
        <d v="2021-02-01T00:00:00"/>
        <d v="2023-10-15T00:00:00"/>
        <d v="2024-05-15T00:00:00"/>
        <d v="2024-10-11T00:00:00"/>
        <d v="2016-04-01T00:00:00"/>
        <d v="2018-05-15T00:00:00"/>
        <d v="2019-07-24T00:00:00"/>
        <d v="2021-01-01T00:00:00"/>
        <d v="2015-06-23T00:00:00"/>
        <d v="2015-10-17T00:00:00"/>
        <d v="2016-01-01T00:00:00"/>
        <d v="2016-10-03T00:00:00"/>
        <d v="2017-03-09T00:00:00"/>
        <d v="2018-06-20T00:00:00"/>
        <d v="2020-03-11T00:00:00"/>
        <d v="2020-05-22T00:00:00"/>
        <d v="2025-05-03T00:00:00"/>
        <d v="2025-05-27T00:00:00"/>
      </sharedItems>
      <fieldGroup par="19"/>
    </cacheField>
    <cacheField name="Policy / Decision / Event" numFmtId="0">
      <sharedItems/>
    </cacheField>
    <cacheField name="Category" numFmtId="0">
      <sharedItems count="5">
        <s v="Border Control"/>
        <s v="International Cooperation"/>
        <s v="Legislative Framework"/>
        <s v="Crisis Response"/>
        <s v="Political Change" u="1"/>
      </sharedItems>
    </cacheField>
    <cacheField name="Calculated Rating" numFmtId="0">
      <sharedItems containsSemiMixedTypes="0" containsString="0" containsNumber="1" minValue="-4" maxValue="4"/>
    </cacheField>
    <cacheField name="Rating" numFmtId="0">
      <sharedItems containsSemiMixedTypes="0" containsString="0" containsNumber="1" containsInteger="1" minValue="-4" maxValue="4"/>
    </cacheField>
    <cacheField name="Impact on Country" numFmtId="0">
      <sharedItems containsSemiMixedTypes="0" containsString="0" containsNumber="1" containsInteger="1" minValue="-1" maxValue="1"/>
    </cacheField>
    <cacheField name="Impact on Other Countries" numFmtId="0">
      <sharedItems containsSemiMixedTypes="0" containsString="0" containsNumber="1" containsInteger="1" minValue="-1" maxValue="1"/>
    </cacheField>
    <cacheField name="Impact on Migrants" numFmtId="0">
      <sharedItems containsSemiMixedTypes="0" containsString="0" containsNumber="1" containsInteger="1" minValue="-1" maxValue="1"/>
    </cacheField>
    <cacheField name="Impact on EU Relations" numFmtId="0">
      <sharedItems containsSemiMixedTypes="0" containsString="0" containsNumber="1" containsInteger="1" minValue="-1" maxValue="1"/>
    </cacheField>
    <cacheField name="Impact Value" numFmtId="0">
      <sharedItems containsSemiMixedTypes="0" containsString="0" containsNumber="1" minValue="0.33" maxValue="1"/>
    </cacheField>
    <cacheField name="Impact" numFmtId="0">
      <sharedItems/>
    </cacheField>
    <cacheField name="Impact Reasoning" numFmtId="0">
      <sharedItems/>
    </cacheField>
    <cacheField name="Source Name" numFmtId="0">
      <sharedItems/>
    </cacheField>
    <cacheField name="Main Source Link" numFmtId="0">
      <sharedItems/>
    </cacheField>
    <cacheField name="Total Records Analysed" numFmtId="0">
      <sharedItems containsSemiMixedTypes="0" containsString="0" containsNumber="1" containsInteger="1" minValue="3" maxValue="9"/>
    </cacheField>
    <cacheField name="Months (Policy Date)" numFmtId="0" databaseField="0">
      <fieldGroup base="2">
        <rangePr groupBy="months" startDate="2015-06-01T00:00:00" endDate="2025-12-02T00:00:00"/>
        <groupItems count="14">
          <s v="&lt;1.06.2015"/>
          <s v="jan"/>
          <s v="feb"/>
          <s v="mar"/>
          <s v="apr"/>
          <s v="maj"/>
          <s v="jun"/>
          <s v="jul"/>
          <s v="avg"/>
          <s v="sep"/>
          <s v="okt"/>
          <s v="nov"/>
          <s v="dec"/>
          <s v="&gt;2.12.2025"/>
        </groupItems>
      </fieldGroup>
    </cacheField>
    <cacheField name="Quarters (Policy Date)" numFmtId="0" databaseField="0">
      <fieldGroup base="2">
        <rangePr groupBy="quarters" startDate="2015-06-01T00:00:00" endDate="2025-12-02T00:00:00"/>
        <groupItems count="6">
          <s v="&lt;1.06.2015"/>
          <s v="Qtr1"/>
          <s v="Qtr2"/>
          <s v="Qtr3"/>
          <s v="Qtr4"/>
          <s v="&gt;2.12.2025"/>
        </groupItems>
      </fieldGroup>
    </cacheField>
    <cacheField name="Years (Policy Date)" numFmtId="0" databaseField="0">
      <fieldGroup base="2">
        <rangePr groupBy="years" startDate="2015-06-01T00:00:00" endDate="2025-12-02T00:00:00"/>
        <groupItems count="13">
          <s v="&lt;1.06.2015"/>
          <s v="2015"/>
          <s v="2016"/>
          <s v="2017"/>
          <s v="2018"/>
          <s v="2019"/>
          <s v="2020"/>
          <s v="2021"/>
          <s v="2022"/>
          <s v="2023"/>
          <s v="2024"/>
          <s v="2025"/>
          <s v="&gt;2.12.2025"/>
        </groupItems>
      </fieldGroup>
    </cacheField>
  </cacheFields>
  <extLst>
    <ext xmlns:x14="http://schemas.microsoft.com/office/spreadsheetml/2009/9/main" uri="{725AE2AE-9491-48be-B2B4-4EB974FC3084}">
      <x14:pivotCacheDefinition pivotCacheId="1746870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n v="11"/>
    <s v="Slovenia"/>
    <x v="0"/>
    <s v="Slovenia sets daily intake limit"/>
    <s v="Border Control"/>
    <n v="-2"/>
    <n v="-2"/>
    <n v="0"/>
    <n v="-1"/>
    <n v="-1"/>
    <n v="0"/>
    <n v="1"/>
    <s v="High"/>
    <s v="Directly affected the Balkan route flow during the peak migration crisis and impacted thousands of migrants and neighboring states."/>
    <s v="DW"/>
    <s v="https://www.dw.com/en/slovenia-blocks-flow-of-migrants-entering-its-borders/a-18790663"/>
    <n v="4"/>
  </r>
  <r>
    <n v="11"/>
    <s v="Slovenia"/>
    <x v="1"/>
    <s v="Parliament authorizes military assistance"/>
    <s v="Border Control"/>
    <n v="0"/>
    <n v="0"/>
    <n v="1"/>
    <n v="0"/>
    <n v="-1"/>
    <n v="0"/>
    <n v="0.66"/>
    <s v="Medium"/>
    <s v="Strengthened state border enforcement capacity, though primarily operational rather than transformational."/>
    <s v="The Guardian"/>
    <s v="https://www.theguardian.com/world/2015/oct/21/slovenia-calls-in-army-refugee-crisis-borders-europe"/>
    <n v="6"/>
  </r>
  <r>
    <n v="11"/>
    <s v="Slovenia"/>
    <x v="2"/>
    <s v="Slovenia Requests EU Assistance"/>
    <s v="International Cooperation"/>
    <n v="1.98"/>
    <n v="3"/>
    <n v="1"/>
    <n v="1"/>
    <n v="0"/>
    <n v="1"/>
    <n v="0.66"/>
    <s v="Medium"/>
    <s v="Important diplomatic and EU coordination measure, but with less direct effect on migration flows."/>
    <s v="DW"/>
    <s v="https://www.dw.com/en/slovenia-asks-for-eu-help-to-tackle-refugee-crisis/a-18798930"/>
    <n v="6"/>
  </r>
  <r>
    <n v="11"/>
    <s v="Slovenia"/>
    <x v="3"/>
    <s v="Slovenia erects fence on Croatian border"/>
    <s v="Border Control"/>
    <n v="-3"/>
    <n v="-3"/>
    <n v="0"/>
    <n v="-1"/>
    <n v="-1"/>
    <n v="-1"/>
    <n v="1"/>
    <s v="High"/>
    <s v="Major symbolic and operational border policy with strong regional consequences and effects on migrant routes."/>
    <s v="Politico Europe"/>
    <s v="https://www.politico.eu/article/slovenia-to-build-croatia-border-fence-miro-cerar-migrants-control/"/>
    <n v="5"/>
  </r>
  <r>
    <n v="11"/>
    <s v="Slovenia"/>
    <x v="4"/>
    <s v="Army enabled to control the migrant movements"/>
    <s v="Border Control"/>
    <n v="0"/>
    <n v="0"/>
    <n v="1"/>
    <n v="0"/>
    <n v="-1"/>
    <n v="0"/>
    <n v="0.66"/>
    <s v="Medium"/>
    <s v="Expanded migration enforcement capabilities but did not fundamentally change the migration system."/>
    <s v="DW"/>
    <s v="https://www.dw.com/en/slovenia-deploys-army-to-schengen-zone-border-to-tackle-refugee-influx/a-19066844"/>
    <n v="6"/>
  </r>
  <r>
    <n v="11"/>
    <s v="Slovenia"/>
    <x v="5"/>
    <s v="Slovenia sets new daily intake limit"/>
    <s v="Border Control"/>
    <n v="-2"/>
    <n v="-2"/>
    <n v="0"/>
    <n v="-1"/>
    <n v="-1"/>
    <n v="0"/>
    <n v="1"/>
    <s v="High"/>
    <s v="Reinforced the closure dynamics of the Balkan route and strongly affected regional transit migration."/>
    <s v="The Guardian"/>
    <s v="https://www.theguardian.com/world/2016/feb/26/croatia-slovenia-limits-refugee-numbers-europe-greece"/>
    <n v="4"/>
  </r>
  <r>
    <n v="11"/>
    <s v="Slovenia"/>
    <x v="6"/>
    <s v="Slovenia toughens asylum measures"/>
    <s v="Legislative Framework"/>
    <n v="0"/>
    <n v="0"/>
    <n v="1"/>
    <n v="0"/>
    <n v="-1"/>
    <n v="0"/>
    <n v="0.66"/>
    <s v="Medium"/>
    <s v="Important tightening of asylum policy with moderate long-term legal implications."/>
    <s v="DW"/>
    <s v="https://www.dw.com/en/slovenia-approves-new-legislation-in-effort-to-stem-refugee-flow/a-19095793"/>
    <n v="5"/>
  </r>
  <r>
    <n v="11"/>
    <s v="Slovenia"/>
    <x v="7"/>
    <s v="Slovenia tightens its border controls"/>
    <s v="Border Control"/>
    <n v="-1"/>
    <n v="-1"/>
    <n v="1"/>
    <n v="-1"/>
    <n v="-1"/>
    <n v="0"/>
    <n v="1"/>
    <s v="High"/>
    <s v="Contributed significantly to regional border restrictions and Western Balkan route closure measures."/>
    <s v="Time"/>
    <s v="https://time.com/4252013/slovenia-serbia-balkans-route-refugees-migrants-eu/"/>
    <n v="4"/>
  </r>
  <r>
    <n v="11"/>
    <s v="Slovenia"/>
    <x v="8"/>
    <s v="The Law on International Protection"/>
    <s v="Legislative Framework"/>
    <n v="2"/>
    <n v="2"/>
    <n v="1"/>
    <n v="0"/>
    <n v="0"/>
    <n v="1"/>
    <n v="1"/>
    <s v="High"/>
    <s v="Established a long-term legal framework for asylum and international protection governance."/>
    <s v="European Commission"/>
    <s v="https://migrant-integration.ec.europa.eu/index.php/country-governance/governance-migrant-integration-slovenia_en"/>
    <n v="3"/>
  </r>
  <r>
    <n v="11"/>
    <s v="Slovenia"/>
    <x v="9"/>
    <s v="The Office for the Support and Integration of Migrants is established"/>
    <s v="Legislative Framework"/>
    <n v="1.98"/>
    <n v="3"/>
    <n v="1"/>
    <n v="0"/>
    <n v="1"/>
    <n v="1"/>
    <n v="0.66"/>
    <s v="Medium"/>
    <s v="Created an important institutional structure for migrant integration and support."/>
    <s v="European Commission"/>
    <s v="https://migrant-integration.ec.europa.eu/country-governance/governance-migrant-integration-slovenia_en"/>
    <n v="3"/>
  </r>
  <r>
    <n v="11"/>
    <s v="Slovenia"/>
    <x v="10"/>
    <s v="Amendments to Aliens Act"/>
    <s v="Legislative Framework"/>
    <n v="-2"/>
    <n v="-2"/>
    <n v="1"/>
    <n v="-1"/>
    <n v="-1"/>
    <n v="-1"/>
    <n v="1"/>
    <s v="High"/>
    <s v="Major legislative change enabling exceptional border closure mechanisms and asylum restrictions."/>
    <s v="Amnesty International"/>
    <s v="https://www.amnesty.org/en/latest/news/2017/01/slovenia-amendments-to-aliens-act-denies-protection-to-refugees-2/"/>
    <n v="4"/>
  </r>
  <r>
    <n v="11"/>
    <s v="Slovenia"/>
    <x v="11"/>
    <s v="Framework Agreement for Refugee Resettlement Programme (IOM, UN and Slovenia)"/>
    <s v="International Cooperation"/>
    <n v="2.64"/>
    <n v="4"/>
    <n v="1"/>
    <n v="1"/>
    <n v="1"/>
    <n v="1"/>
    <n v="0.66"/>
    <s v="Medium"/>
    <s v="Important humanitarian and international cooperation initiative, though limited in numerical scale."/>
    <s v="International Organization for Migration"/>
    <s v="https://slovenia.iom.int/news/slovenias-first-refugee-resettlement-programme-completed-after-arrival-last-syrian-family-0"/>
    <n v="5"/>
  </r>
  <r>
    <n v="11"/>
    <s v="Slovenia"/>
    <x v="12"/>
    <s v="First Refugee Resettlement Programme Completed"/>
    <s v="International Cooperation"/>
    <n v="1.32"/>
    <n v="4"/>
    <n v="1"/>
    <n v="1"/>
    <n v="1"/>
    <n v="1"/>
    <n v="0.33"/>
    <s v="Low"/>
    <s v="Primarily a symbolic completion milestone rather than a major new policy shift."/>
    <s v="International Organization for Migration "/>
    <s v="https://slovenia.iom.int/news/slovenias-first-refugee-resettlement-programme-completed-after-arrival-last-syrian-family-0"/>
    <n v="5"/>
  </r>
  <r>
    <n v="11"/>
    <s v="Slovenia"/>
    <x v="13"/>
    <s v="Adoption of the Strategy on Migration"/>
    <s v="Legislative Framework"/>
    <n v="1.32"/>
    <n v="2"/>
    <n v="1"/>
    <n v="0"/>
    <n v="0"/>
    <n v="1"/>
    <n v="0.66"/>
    <s v="Medium"/>
    <s v="Established a long-term strategic framework for migration governance and planning."/>
    <s v="Government of Slovenia"/>
    <s v="https://www.gov.si/en/news/2019-07-18-government-adopts-a-strategy-with-regard-to-migrations"/>
    <n v="3"/>
  </r>
  <r>
    <n v="11"/>
    <s v="Slovenia"/>
    <x v="14"/>
    <s v="Slovenian announces extension of 40km border fence on Slovenia–Croatia border"/>
    <s v="Border Control"/>
    <n v="-1.98"/>
    <n v="-3"/>
    <n v="0"/>
    <n v="-1"/>
    <n v="-1"/>
    <n v="-1"/>
    <n v="0.66"/>
    <s v="Medium"/>
    <s v="Expanded existing border restrictions without fundamentally changing policy direction."/>
    <s v="Al Jazeera"/>
    <s v="https://www.aljazeera.com/news/2019/8/22/slovenia-to-extend-border-fence-to-prevent-refugee-crossings"/>
    <n v="6"/>
  </r>
  <r>
    <n v="11"/>
    <s v="Slovenia"/>
    <x v="15"/>
    <s v="Suspension of Slovenia’s asylum procedure due to COVID‑19 lockdown (until May)"/>
    <s v="Crisis Response"/>
    <n v="-1"/>
    <n v="-1"/>
    <n v="0"/>
    <n v="0"/>
    <n v="-1"/>
    <n v="0"/>
    <n v="1"/>
    <s v="High"/>
    <s v="Directly suspended asylum access nationally during the COVID-19 emergency period."/>
    <s v="European Council on Refugees and Exiles (ECRE)"/>
    <s v="https://ecre.org/aida-2020-update-slovenia"/>
    <n v="5"/>
  </r>
  <r>
    <n v="11"/>
    <s v="Slovenia"/>
    <x v="16"/>
    <s v="Parliament approves amendments to the International Protection Act and Foreigners Act (introducing a “complex crisis” clause)"/>
    <s v="Legislative Framework"/>
    <n v="-2"/>
    <n v="-2"/>
    <n v="1"/>
    <n v="-1"/>
    <n v="-1"/>
    <n v="-1"/>
    <n v="1"/>
    <s v="High"/>
    <s v="Introduced major structural legal changes with potentially broad future consequences for asylum access."/>
    <s v="European Council on Refugees and Exiles (ECRE)"/>
    <s v="https://ecre.org/slovenia-national-assembly-approves-legislation-eroding-the-rights-of-asylum-seekers"/>
    <n v="5"/>
  </r>
  <r>
    <n v="11"/>
    <s v="Slovenia"/>
    <x v="17"/>
    <s v="Amendments to IPA and Foreigners Act enter into force (allowing border closures under “complex crisis” conditions)"/>
    <s v="Legislative Framework"/>
    <n v="-1.32"/>
    <n v="-2"/>
    <n v="1"/>
    <n v="-1"/>
    <n v="-1"/>
    <n v="-1"/>
    <n v="0.66"/>
    <s v="Medium"/>
    <s v="Marked implementation of previously adopted restrictive migration legislation."/>
    <s v="European Council on Refugees and Exiles (ECRE)"/>
    <s v="https://ecre.org/aida-2021-update-slovenia"/>
    <n v="5"/>
  </r>
  <r>
    <n v="11"/>
    <s v="Slovenia"/>
    <x v="18"/>
    <s v="Joint Cooperation Platform conference "/>
    <s v="International Cooperation"/>
    <n v="0.99"/>
    <n v="3"/>
    <n v="1"/>
    <n v="1"/>
    <n v="0"/>
    <n v="1"/>
    <n v="0.33"/>
    <s v="Low"/>
    <s v="Mainly a diplomatic coordination event with limited immediate operational impact."/>
    <s v="Government of Slovenia"/>
    <s v="https://www.gov.si/en/news/2022-06-22-return-is-one-of-key-pillars-of-an-effective-migration-policy/"/>
    <n v="7"/>
  </r>
  <r>
    <n v="11"/>
    <s v="Slovenia"/>
    <x v="19"/>
    <s v="Government signals gradual removal of Slovenia–Croatia border fence (razor wire)"/>
    <s v="Border Control"/>
    <n v="4"/>
    <n v="4"/>
    <n v="1"/>
    <n v="1"/>
    <n v="1"/>
    <n v="1"/>
    <n v="1"/>
    <s v="High"/>
    <s v="Represented a major symbolic and practical reversal of restrictive border policies."/>
    <s v="Associated Press"/>
    <s v="https://apnews.com/article/migration-austria-western-europe-croatia-791cb1b95334fc1055f98e2b31057951"/>
    <n v="6"/>
  </r>
  <r>
    <n v="11"/>
    <s v="Slovenia"/>
    <x v="20"/>
    <s v="Slovenia agrees to resettle 50 Syrian and Afghan refugees from Türkiye (UNHCR resettlement program)"/>
    <s v="International Cooperation"/>
    <n v="2.64"/>
    <n v="4"/>
    <n v="1"/>
    <n v="1"/>
    <n v="1"/>
    <n v="1"/>
    <n v="0.66"/>
    <s v="Medium"/>
    <s v="Positive humanitarian measure with moderate practical impact due to limited refugee numbers."/>
    <s v="Government of Slovenia"/>
    <s v="https://www.gov.si/en/news/2022-12-01-26th-regular-government-session"/>
    <n v="3"/>
  </r>
  <r>
    <n v="11"/>
    <s v="Slovenia"/>
    <x v="21"/>
    <s v="Initiation of a New Migration Strategy"/>
    <s v="Legislative Framework"/>
    <n v="1.98"/>
    <n v="3"/>
    <n v="1"/>
    <n v="0"/>
    <n v="1"/>
    <n v="1"/>
    <n v="0.66"/>
    <s v="Medium"/>
    <s v="Important strategic initiative shaping future migration governance priorities."/>
    <s v="Government of Slovenia"/>
    <s v="https://www.gov.si/en/news/2023-01-18-minister-sanja-ajanovic-hovnik-the-aim-is-to-prepare-an-effective-migration-strategy/"/>
    <n v="5"/>
  </r>
  <r>
    <n v="11"/>
    <s v="Slovenia"/>
    <x v="22"/>
    <s v="Parliament approves amendments to Employment of Foreigners Act (speed up recruitment; asylum seekers access labour market after 3 months)"/>
    <s v="Legislative Framework"/>
    <n v="3"/>
    <n v="3"/>
    <n v="1"/>
    <n v="0"/>
    <n v="1"/>
    <n v="1"/>
    <n v="1"/>
    <s v="High"/>
    <s v="Significantly improved migrant labour market access and foreign worker recruitment processes."/>
    <s v="Government of Slovenia"/>
    <s v="https://www.gov.si/en/news/2023-03-28-changing-the-law-to-speed-up-the-recruitment-of-foreigners"/>
    <n v="4"/>
  </r>
  <r>
    <n v="11"/>
    <s v="Slovenia"/>
    <x v="23"/>
    <s v="Temporary border controls reintroduced with Croatia and Hungary (21–30 Oct 2023, citing security threats)"/>
    <s v="Border Control"/>
    <n v="-3"/>
    <n v="-3"/>
    <n v="0"/>
    <n v="-1"/>
    <n v="-1"/>
    <n v="-1"/>
    <n v="1"/>
    <s v="High"/>
    <s v="Strong implications for Schengen mobility, regional migration governance, and neighboring countries."/>
    <s v="Reuters"/>
    <s v="https://www.reuters.com/world/europe/slovenia-deploys-police-borders-with-croatia-hungary-2023-10-21"/>
    <n v="5"/>
  </r>
  <r>
    <n v="11"/>
    <s v="Slovenia"/>
    <x v="24"/>
    <s v="First group of 23 Syrian refugees arrives under Slovenia’s 50-person Türkiye resettlement scheme"/>
    <s v="International Cooperation"/>
    <n v="1.32"/>
    <n v="4"/>
    <n v="1"/>
    <n v="1"/>
    <n v="1"/>
    <n v="1"/>
    <n v="0.33"/>
    <s v="Low"/>
    <s v="Limited-scale implementation event with mainly symbolic significance."/>
    <s v="Government of Slovenia"/>
    <s v="https://www.gov.si/en/news/2023-12-15-slovenia-accepts-refugees-under-the-resettlement-project"/>
    <n v="6"/>
  </r>
  <r>
    <n v="11"/>
    <s v="Slovenia"/>
    <x v="25"/>
    <s v="Interior Minister announces extension of border controls with Croatia and Hungary by 6 months (to Dec 2024)"/>
    <s v="Border Control"/>
    <n v="-1.98"/>
    <n v="-3"/>
    <n v="0"/>
    <n v="-1"/>
    <n v="-1"/>
    <n v="-1"/>
    <n v="0.66"/>
    <s v="Medium"/>
    <s v="Extended existing restrictive border measures without introducing fundamentally new controls."/>
    <s v="Government of Slovenia"/>
    <s v="https://www.gov.si/en/news/2024-05-22-slovenia-to-extend-control-at-croatian-and-hungarian-borders-by-six-months"/>
    <n v="5"/>
  </r>
  <r>
    <n v="11"/>
    <s v="Slovenia"/>
    <x v="26"/>
    <s v="Ordinance issued extending temporary border checks with Croatia and Hungary until 21 Dec 2024"/>
    <s v="Border Control"/>
    <n v="-0.99"/>
    <n v="-3"/>
    <n v="0"/>
    <n v="-1"/>
    <n v="-1"/>
    <n v="-1"/>
    <n v="0.33"/>
    <s v="Low"/>
    <s v="Administrative continuation of already existing border control measures."/>
    <s v="Government of Slovenia"/>
    <s v="https://www.gov.si/en/news/2024-06-19-border-controls-with-croatia-and-hungary-extended-until-21-december-2024"/>
    <n v="5"/>
  </r>
  <r>
    <n v="11"/>
    <s v="Slovenia"/>
    <x v="27"/>
    <s v="Implementation of Stricter Language Requirements"/>
    <s v="Legislative Framework"/>
    <n v="-0.66"/>
    <n v="-1"/>
    <n v="0"/>
    <n v="0"/>
    <n v="-1"/>
    <n v="0"/>
    <n v="0.66"/>
    <s v="Medium"/>
    <s v="Long-term integration and migration implications through stricter integration requirements."/>
    <s v="Fragomen"/>
    <s v="https://www.fragomen.com/insights/slovenia-relaxed-immigration-rules-implemented-but-stricter-language-requirements-forthcoming.html"/>
    <n v="6"/>
  </r>
  <r>
    <n v="11"/>
    <s v="Slovenia"/>
    <x v="28"/>
    <s v="Government prolongs temporary border controls with Croatia and Hungary until 21 June 2025"/>
    <s v="Border Control"/>
    <n v="-1.98"/>
    <n v="-3"/>
    <n v="0"/>
    <n v="-1"/>
    <n v="-1"/>
    <n v="-1"/>
    <n v="0.66"/>
    <s v="Medium"/>
    <s v="Continuation of temporary border restrictions with moderate regional implications."/>
    <s v="Government of Slovenia"/>
    <s v="https://www.gov.si/en/news/2024-12-20-temporary-control-on-internal-borders-with-croatia-and-hungary-prolonged-until-21-june-2025"/>
    <n v="5"/>
  </r>
  <r>
    <n v="11"/>
    <s v="Slovenia"/>
    <x v="29"/>
    <s v="Establishment of Temporary Facilities for Migrants at the Croatia Border"/>
    <s v="Crisis Response"/>
    <n v="-0.66"/>
    <n v="-1"/>
    <n v="0"/>
    <n v="-1"/>
    <n v="0"/>
    <n v="0"/>
    <n v="0.66"/>
    <s v="Medium"/>
    <s v="Operational crisis-response measure improving migrant accommodation and border management capacity."/>
    <s v="Associated Press"/>
    <s v="https://apnews.com/article/1a1a931125f6f9207c9c3e49e11ef1f3"/>
    <n v="7"/>
  </r>
  <r>
    <n v="11"/>
    <s v="Slovenia"/>
    <x v="30"/>
    <s v="Slovenia, Italy and Croatia sign memorandum on joint external-border patrols (to replace internal checks)"/>
    <s v="International Cooperation"/>
    <n v="2"/>
    <n v="2"/>
    <n v="1"/>
    <n v="1"/>
    <n v="-1"/>
    <n v="1"/>
    <n v="1"/>
    <s v="High"/>
    <s v="Strong regional cooperation initiative reshaping joint migration and border management practices."/>
    <s v="The Slovenia Times"/>
    <s v="https://sloveniatimes.com/42279/slovenia-croatia-and-italy-agree-joint-border-patrols"/>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n v="10"/>
    <s v="Croatia"/>
    <x v="0"/>
    <s v="Act on International and Temporary Protection (OG 70/15) enters into force, transposing EU asylum acquis"/>
    <s v="Legislative Framework"/>
    <n v="3"/>
    <n v="3"/>
    <n v="1"/>
    <n v="0"/>
    <n v="1"/>
    <n v="1"/>
    <n v="1"/>
    <s v="High"/>
    <s v="Established Croatia’s core asylum and international protection framework through alignment with the EU asylum acquis, creating long-term legal and institutional consequences."/>
    <s v="European Migration Network (Croatia)"/>
    <s v="https://emn.gov.hr/UserDocsImages/EMN_kratka_izvjesca/2015_emn_country_factsheet_hr_final.pdf"/>
    <n v="5"/>
  </r>
  <r>
    <n v="10"/>
    <s v="Croatia"/>
    <x v="1"/>
    <s v="Croatia agrees to take in 550 refugees (400 via EU relocation, 150 via resettlement)"/>
    <s v="International Cooperation"/>
    <n v="2.64"/>
    <n v="4"/>
    <n v="1"/>
    <n v="1"/>
    <n v="1"/>
    <n v="1"/>
    <n v="0.66"/>
    <s v="Medium"/>
    <s v="Important humanitarian and EU solidarity measure, though relatively limited in numerical scale."/>
    <s v="Balkan Insight"/>
    <s v="https://balkaninsight.com/2015/07/16/croatia-to-receive-and-accommodate-550-refugees"/>
    <n v="5"/>
  </r>
  <r>
    <n v="10"/>
    <s v="Croatia"/>
    <x v="2"/>
    <s v="Opatovac transit reception centre (capacity ~5,000) opened near Serbia border"/>
    <s v="Crisis Response"/>
    <n v="1"/>
    <n v="1"/>
    <n v="1"/>
    <n v="0"/>
    <n v="0"/>
    <n v="0"/>
    <n v="1"/>
    <s v="High"/>
    <s v="Major operational reception facility during the peak of the migration crisis with significant logistical importance."/>
    <s v="European Migration Network (Croatia)"/>
    <s v="https://emn.gov.hr/UserDocsImages/EMN_kratka_izvjesca/2015_emn_country_factsheet_hr_final.pdf"/>
    <n v="4"/>
  </r>
  <r>
    <n v="10"/>
    <s v="Croatia"/>
    <x v="3"/>
    <s v="Croatia closed seven of its eight border crossings with Serbia after an influx of approximately 10,000 refugees in two days"/>
    <s v="Border Control"/>
    <n v="-3"/>
    <n v="-3"/>
    <n v="0"/>
    <n v="-1"/>
    <n v="-1"/>
    <n v="-1"/>
    <n v="1"/>
    <s v="High"/>
    <s v="Strongly disrupted regional mobility and migration flows along the Balkan route while affecting bilateral relations with Serbia."/>
    <s v="Time"/>
    <s v="https://time.com/4039742/croatia-border-crossings-closed-refugees-migrant-crisis"/>
    <n v="9"/>
  </r>
  <r>
    <n v="10"/>
    <s v="Croatia"/>
    <x v="4"/>
    <s v="Slavonski Brod winter reception centre opened (heated, capacity ~15,000) and Opatovac closed"/>
    <s v="Crisis Response"/>
    <n v="2"/>
    <n v="2"/>
    <n v="1"/>
    <n v="0"/>
    <n v="1"/>
    <n v="0"/>
    <n v="1"/>
    <s v="High"/>
    <s v="Large-scale reception infrastructure with substantial operational and humanitarian importance during the migration crisis."/>
    <s v="European Migration Network (Croatia)"/>
    <s v="https://emn.gov.hr/UserDocsImages/EMN_kratka_izvjesca/2015_emn_country_factsheet_hr_final.pdf"/>
    <n v="3"/>
  </r>
  <r>
    <n v="10"/>
    <s v="Croatia"/>
    <x v="4"/>
    <s v="Transit reception centres built in Tovarnik (Serbia border) and Trilj"/>
    <s v="Crisis Response"/>
    <n v="0.66"/>
    <n v="1"/>
    <n v="1"/>
    <n v="0"/>
    <n v="0"/>
    <n v="0"/>
    <n v="0.66"/>
    <s v="Medium"/>
    <s v="Operational support infrastructure that improved migrant transit management but with more localized effects."/>
    <s v="European Migration Network (Croatia)"/>
    <s v="https://emn.gov.hr/UserDocsImages/EMN_kratka_izvjesca/2015_emn_country_factsheet_hr_final.pdf"/>
    <n v="3"/>
  </r>
  <r>
    <n v="10"/>
    <s v="Croatia"/>
    <x v="5"/>
    <s v="Transit ban on refugees: Croatia follows Slovenia and denies transit to most refugees, only allowing those with visas or asylum claims"/>
    <s v="Border Control"/>
    <n v="-1"/>
    <n v="-1"/>
    <n v="1"/>
    <n v="-1"/>
    <n v="-1"/>
    <n v="0"/>
    <n v="1"/>
    <s v="High"/>
    <s v="Played a major role in the effective closure of the Western Balkan migration route and significantly affected regional transit dynamics."/>
    <s v="The Guardian"/>
    <s v="https://www.theguardian.com/world/2016/mar/09/slovenia-and-croatia-ban-the-transit-of-refugees"/>
    <n v="7"/>
  </r>
  <r>
    <n v="10"/>
    <s v="Croatia"/>
    <x v="6"/>
    <s v="Relocated refugees arrive: 4 Syrians (from Italy, 4 Jul), 10 Syrians (from Greece, 22 Aug), 5 Eritreans (from Italy, 3 Oct)"/>
    <s v="International Cooperation"/>
    <n v="1.32"/>
    <n v="4"/>
    <n v="1"/>
    <n v="1"/>
    <n v="1"/>
    <n v="1"/>
    <n v="0.33"/>
    <s v="Low"/>
    <s v="Limited-scale relocation measure with mainly symbolic and humanitarian significance."/>
    <s v="European Migration Network (Croatia)"/>
    <s v="https://emn.gov.hr/UserDocsImages/EMN_kratka_izvjesca/2016_emn_country_factsheet_hr_final.pdf"/>
    <n v="3"/>
  </r>
  <r>
    <n v="10"/>
    <s v="Croatia"/>
    <x v="7"/>
    <s v="Pushback scandal exposed: Guardian reports hidden-camera footage of Croatian police returning groups of asylum seekers (54 incidents, 368 people) into Bosnia"/>
    <s v="Border Control"/>
    <n v="-4"/>
    <n v="-4"/>
    <n v="-1"/>
    <n v="-1"/>
    <n v="-1"/>
    <n v="-1"/>
    <n v="1"/>
    <s v="High"/>
    <s v="Generated major international criticism and significant implications for Croatia’s human-rights reputation and EU border governance debates."/>
    <s v="The Guardian"/>
    <s v="https://www.theguardian.com/world/2018/dec/17/croatia-violating-eu-law-by-sending-back-asylum-seekers-to-bosnia"/>
    <n v="4"/>
  </r>
  <r>
    <n v="10"/>
    <s v="Croatia"/>
    <x v="8"/>
    <s v="Planned asylum centre canceled: Government abandons building a new centre in Mala Gorica (Petrinja area) after local veterans threaten protests"/>
    <s v="Crisis Response"/>
    <n v="-1.98"/>
    <n v="-3"/>
    <n v="-1"/>
    <n v="0"/>
    <n v="-1"/>
    <n v="-1"/>
    <n v="0.66"/>
    <s v="Medium"/>
    <s v="Important domestic political decision affecting asylum infrastructure capacity, though geographically limited."/>
    <s v="Balkan Insight"/>
    <s v="https://balkaninsight.com/2019/05/10/croatia-war-veterans-threaten-block-roads-over-asylum-centre"/>
    <n v="3"/>
  </r>
  <r>
    <n v="10"/>
    <s v="Croatia"/>
    <x v="9"/>
    <s v="Asylum center lockdown: Reception centres in Zagreb and Kutina are locked down; asylum seekers cannot leave, NGOs barred"/>
    <s v="Crisis Response"/>
    <n v="-0.66"/>
    <n v="-1"/>
    <n v="0"/>
    <n v="0"/>
    <n v="-1"/>
    <n v="0"/>
    <n v="0.66"/>
    <s v="Medium"/>
    <s v="Directly restricted asylum seekers’ mobility and access to services during the COVID-19 emergency period."/>
    <s v="European Council on Refugees and Exiles (ECRE)"/>
    <s v="https://www.ecre.org/wp-content/uploads/2020/05/COVID-INFO-28-May.pdf"/>
    <n v="4"/>
  </r>
  <r>
    <n v="10"/>
    <s v="Croatia"/>
    <x v="10"/>
    <s v="COVID border closure: National Civil Protection temporarily prohibits crossing state borders (except for limited cases)"/>
    <s v="Crisis Response"/>
    <n v="-1"/>
    <n v="-1"/>
    <n v="0"/>
    <n v="0"/>
    <n v="-1"/>
    <n v="0"/>
    <n v="1"/>
    <s v="High"/>
    <s v="Nationwide border restrictions with broad implications for migration governance and mobility during the pandemic."/>
    <s v="European Council on Refugees and Exiles (ECRE)"/>
    <s v="https://www.ecre.org/wp-content/uploads/2020/05/COVID-INFO-28-May.pdf"/>
    <n v="5"/>
  </r>
  <r>
    <n v="10"/>
    <s v="Croatia"/>
    <x v="11"/>
    <s v="Renovation and expansion of Kutina Reception Centre"/>
    <s v="Crisis Response"/>
    <n v="1.98"/>
    <n v="3"/>
    <n v="1"/>
    <n v="0"/>
    <n v="1"/>
    <n v="1"/>
    <n v="0.66"/>
    <s v="Medium"/>
    <s v="Strengthened reception capacity and integration infrastructure, though without fundamentally transforming migration governance."/>
    <s v="European Council on Refugees and Exiles (ECRE)"/>
    <s v="https://ecre.org/2022-update-aida-country-report-croatia/"/>
    <n v="4"/>
  </r>
  <r>
    <n v="10"/>
    <s v="Croatia"/>
    <x v="12"/>
    <s v="ECtHR ruling in M.H. and Others v. Croatia on unlawful pushbacks"/>
    <s v="Legislative Framework"/>
    <n v="-1"/>
    <n v="-1"/>
    <n v="-1"/>
    <n v="0"/>
    <n v="1"/>
    <n v="-1"/>
    <n v="1"/>
    <s v="High"/>
    <s v="Landmark ECtHR judgment with major legal, reputational, and human-rights implications for Croatia and EU external border management practices."/>
    <s v="European Court of Human Rights (HUDOC)"/>
    <s v="https://hudoc.echr.coe.int/fre#{%22itemid%22:[%22001-213213%22]}"/>
    <n v="6"/>
  </r>
  <r>
    <n v="10"/>
    <s v="Croatia"/>
    <x v="13"/>
    <s v="Croatian authorities acknowledged that some police officers participated in illegal pushback incidents at the border with Bosnia and Herzegovina"/>
    <s v="Legislative Framework"/>
    <n v="0"/>
    <n v="0"/>
    <n v="0"/>
    <n v="0"/>
    <n v="0"/>
    <n v="0"/>
    <n v="0.66"/>
    <s v="Medium"/>
    <s v="Politically significant acknowledgment of misconduct by authorities, though with limited immediate structural reform consequences."/>
    <s v="Parliamentary Assembly of the Council of Europe (PACE)"/>
    <s v="https://pace.coe.int/en/files/30216/html"/>
    <n v="4"/>
  </r>
  <r>
    <n v="10"/>
    <s v="Croatia"/>
    <x v="14"/>
    <s v="Schengen accession: Croatia joins the Schengen area (Council Dec 2022 decision); internal border checks lifted"/>
    <s v="International Cooperation"/>
    <n v="3"/>
    <n v="3"/>
    <n v="1"/>
    <n v="1"/>
    <n v="0"/>
    <n v="1"/>
    <n v="1"/>
    <s v="High"/>
    <s v="Fundamental geopolitical and migration-governance shift through Croatia’s integration into the Schengen Area."/>
    <s v="Council of the European Union"/>
    <s v="https://www.consilium.europa.eu/en/press/press-releases/2022/12/08/schengen-area-council-decides-to-lift-border-controls-with-croatia"/>
    <n v="5"/>
  </r>
  <r>
    <n v="10"/>
    <s v="Croatia"/>
    <x v="15"/>
    <s v="EU relocation: Croatia accepts 10 relocated asylum applicants (Ivory Coast families) from Italy"/>
    <s v="International Cooperation"/>
    <n v="1.32"/>
    <n v="4"/>
    <n v="1"/>
    <n v="1"/>
    <n v="1"/>
    <n v="1"/>
    <n v="0.33"/>
    <s v="Low"/>
    <s v="Small-scale humanitarian relocation measure with limited practical regional impact."/>
    <s v="Asylum Information Database (AIDA)"/>
    <s v="https://asylumineurope.org/reports/country/croatia/asylum-procedure/access-procedure-and-registration/access-territory-and-push-backs"/>
    <n v="3"/>
  </r>
  <r>
    <n v="10"/>
    <s v="Croatia"/>
    <x v="16"/>
    <s v="Asylum law reforms: Parliament adopts amendments to the International and Temporary Protection Act (effective 1 Apr 2023)"/>
    <s v="Legislative Framework"/>
    <n v="1.98"/>
    <n v="3"/>
    <n v="1"/>
    <n v="0"/>
    <n v="1"/>
    <n v="1"/>
    <n v="0.66"/>
    <s v="Medium"/>
    <s v="Important modernization of asylum legislation with moderate long-term institutional implications."/>
    <s v="European Migration Network (Croatia)"/>
    <s v="https://emn.gov.hr/news/amendments-to-international-and-temporary-protection-act-entered-into-force/964"/>
    <n v="5"/>
  </r>
  <r>
    <n v="10"/>
    <s v="Croatia"/>
    <x v="17"/>
    <s v="ECtHR ruling in DARAIBOU v. CROATIA on violation of Article 2 of the Convention"/>
    <s v="Legislative Framework"/>
    <n v="-3"/>
    <n v="-3"/>
    <n v="-1"/>
    <n v="0"/>
    <n v="-1"/>
    <n v="-1"/>
    <n v="1"/>
    <s v="High"/>
    <s v="Major ECtHR ruling highlighting serious violations of human rights obligations and generating substantial reputational consequences."/>
    <s v="European Court of Human Rights (HUDOC)"/>
    <s v="https://hudoc.echr.coe.int/eng#{%22itemid%22:[%22001-222311%22]}"/>
    <n v="4"/>
  </r>
  <r>
    <n v="10"/>
    <s v="Croatia"/>
    <x v="18"/>
    <s v="Refugees file lawsuit to Croatia's Constitutional Court over ineffective investigation"/>
    <s v="Legislative Framework"/>
    <n v="0"/>
    <n v="0"/>
    <n v="0"/>
    <n v="0"/>
    <n v="0"/>
    <n v="0"/>
    <n v="0.33"/>
    <s v="Low"/>
    <s v="Primarily a legal accountability initiative with limited immediate operational consequences."/>
    <s v="European Center for Constitutional and Human Rights (ECCHR)"/>
    <s v="https://www.ecchr.eu/en/press-release/refugees-file-lawsuit-to-croatias-constitutional-court/"/>
    <n v="3"/>
  </r>
  <r>
    <n v="10"/>
    <s v="Croatia"/>
    <x v="19"/>
    <s v="The City Assembly of Zagreb adopted a new Action Plan for the integration of applicants for international protection and foreign workers for 2023 and 2024"/>
    <s v="Legislative Framework"/>
    <n v="1.98"/>
    <n v="3"/>
    <n v="1"/>
    <n v="0"/>
    <n v="1"/>
    <n v="1"/>
    <n v="0.66"/>
    <s v="Medium"/>
    <s v="Important local integration policy improving coordination and support for migrants and asylum applicants in Zagreb."/>
    <s v="European Council on Refugees and Exiles (ECRE)"/>
    <s v="https://ecre.org/aida-country-report-on-croatia-2023-update"/>
    <n v="4"/>
  </r>
  <r>
    <n v="10"/>
    <s v="Croatia"/>
    <x v="19"/>
    <s v="Pushbacks documented (HRW): Human Rights Watch reports ongoing, violent pushbacks of migrants to Bosnia"/>
    <s v="Border Control"/>
    <n v="-4"/>
    <n v="-4"/>
    <n v="-1"/>
    <n v="-1"/>
    <n v="-1"/>
    <n v="-1"/>
    <n v="1"/>
    <s v="High"/>
    <s v="Reinforced international scrutiny regarding Croatia’s border practices and intensified debates on EU external border management."/>
    <s v="Human Rights Watch"/>
    <s v="https://www.hrw.org/news/2023/05/03/croatia-ongoing-violent-border-pushbacks"/>
    <n v="4"/>
  </r>
  <r>
    <n v="10"/>
    <s v="Croatia"/>
    <x v="20"/>
    <s v="Migrants “readmitted” to BiH: Surge in returns of refugees/migrants to Bosnia under a bilateral readmission agreement (3,433 people 2017–2023)"/>
    <s v="International Cooperation"/>
    <n v="-2"/>
    <n v="-2"/>
    <n v="0"/>
    <n v="-1"/>
    <n v="-1"/>
    <n v="0"/>
    <n v="1"/>
    <s v="High"/>
    <s v="Large-scale readmission practices with important humanitarian and cross-border implications for Bosnia and regional migration governance."/>
    <s v="Balkan Insight"/>
    <s v="https://balkaninsight.com/2023/05/23/bosnia-data-contradicts-croatian-claim-about-migrant-refugee-readmissions"/>
    <n v="3"/>
  </r>
  <r>
    <n v="10"/>
    <s v="Croatia"/>
    <x v="21"/>
    <s v="Memorandum of Understanding signed with Frontex"/>
    <s v="International Cooperation"/>
    <n v="0.66"/>
    <n v="1"/>
    <n v="1"/>
    <n v="0"/>
    <n v="-1"/>
    <n v="1"/>
    <n v="0.66"/>
    <s v="Medium"/>
    <s v="Strengthened operational cooperation with EU border-management institutions while expanding Frontex involvement in Croatia."/>
    <s v="Asylum Information Database (AIDA)"/>
    <s v="https://asylumineurope.org/reports/country/croatia/asylum-procedure/access-procedure-and-registration/access-territory-and-push-backs/"/>
    <n v="4"/>
  </r>
  <r>
    <n v="10"/>
    <s v="Croatia"/>
    <x v="22"/>
    <s v="Opening of &quot;One-Stop Shop&quot; for Refugees and Migrants in Zagreb"/>
    <s v="Crisis Response"/>
    <n v="1.98"/>
    <n v="3"/>
    <n v="1"/>
    <n v="0"/>
    <n v="1"/>
    <n v="1"/>
    <n v="0.66"/>
    <s v="Medium"/>
    <s v="Important urban integration and service-coordination initiative supporting refugees and migrants at the municipal level."/>
    <s v="Balkan Insight"/>
    <s v="https://balkaninsight.com/2024/09/19/croatias-capital-opens-one-stop-shop-for-refugees-asylum-seekers/"/>
    <n v="3"/>
  </r>
  <r>
    <n v="10"/>
    <s v="Croatia"/>
    <x v="23"/>
    <s v="Reports of Croatian police burning asylum seekers' belongings during pushbacks"/>
    <s v="Border Control"/>
    <n v="-4"/>
    <n v="-4"/>
    <n v="-1"/>
    <n v="-1"/>
    <n v="-1"/>
    <n v="-1"/>
    <n v="1"/>
    <s v="High"/>
    <s v="Serious human-rights allegations with substantial reputational implications for Croatia and EU migration governance debates."/>
    <s v="The Guardian"/>
    <s v="https://www.theguardian.com/global-development/2024/oct/10/photos-croatia-police-phones-passports-asylum-seekers"/>
    <n v="4"/>
  </r>
  <r>
    <n v="10"/>
    <s v="Croatia"/>
    <x v="24"/>
    <s v="Deployed 6 Croatian experts to Lesvos, Greece to assist with refugee processing"/>
    <s v="International Cooperation"/>
    <n v="0.99"/>
    <n v="3"/>
    <n v="1"/>
    <n v="1"/>
    <n v="0"/>
    <n v="1"/>
    <n v="0.33"/>
    <s v="Low"/>
    <s v="Limited-scale operational contribution to EU migration management with mainly symbolic and cooperative significance."/>
    <s v="European Migration Network (Croatia)"/>
    <s v="https://emn.gov.hr/UserDocsImages/EMN_kratka_izvjesca/2015_emn_country_factsheet_hr_final.pdf"/>
    <n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n v="12"/>
    <s v="Bosnia and Herzegovina"/>
    <x v="0"/>
    <s v="Stabilisation and Association Agreement (SAA) enters into force"/>
    <s v="International Cooperation"/>
    <n v="1.32"/>
    <n v="2"/>
    <n v="1"/>
    <n v="0"/>
    <n v="0"/>
    <n v="1"/>
    <n v="0.66"/>
    <s v="Medium"/>
    <s v="Important EU integration milestone strengthening Bosnia and Herzegovina’s institutional alignment with European migration and asylum standards."/>
    <s v="European Commission"/>
    <s v="https://enlargement.ec.europa.eu/enlargement-policy/bosnia-and-herzegovina_en"/>
    <n v="5"/>
  </r>
  <r>
    <n v="12"/>
    <s v="Bosnia and Herzegovina"/>
    <x v="1"/>
    <s v="Act on Foreigners (Official Gazette No. 88/15)"/>
    <s v="Legislative Framework"/>
    <n v="1.32"/>
    <n v="2"/>
    <n v="1"/>
    <n v="0"/>
    <n v="0"/>
    <n v="1"/>
    <n v="0.66"/>
    <s v="Medium"/>
    <s v="Established a core legal framework governing migration, residence, and treatment of foreigners within the country."/>
    <s v="NATLEX (ILO)"/>
    <s v="https://natlex.ilo.org/dyn/natlex2/r/natlex/fe/details?cs=1MZCSFvcFNOJzO2BZ-hVVIe0Pom8NnVD4UDhECJUW3BS3jUcfc-cD-IeRktfzNGsdyLUUWiI2-tXi6ydcI-43Rg&amp;p3_isn=102209"/>
    <n v="4"/>
  </r>
  <r>
    <n v="12"/>
    <s v="Bosnia and Herzegovina"/>
    <x v="2"/>
    <s v="Law No. 11 of 2016, Law on Asylum"/>
    <s v="Legislative Framework"/>
    <n v="3"/>
    <n v="3"/>
    <n v="1"/>
    <n v="0"/>
    <n v="1"/>
    <n v="1"/>
    <n v="1"/>
    <s v="High"/>
    <s v="Created the country’s principal asylum framework with long-term institutional and legal implications for migration governance."/>
    <s v="Refworld (UNHCR)"/>
    <s v="http://refworld.org/legal/legislation/natlegbod/2016/en/123253"/>
    <n v="4"/>
  </r>
  <r>
    <n v="12"/>
    <s v="Bosnia and Herzegovina"/>
    <x v="3"/>
    <s v="Official “closure” of the Western Balkan route at the Croatia–BiH border, sharply reducing unregulated transit crossings"/>
    <s v="Border Control"/>
    <n v="-2"/>
    <n v="-2"/>
    <n v="-1"/>
    <n v="0"/>
    <n v="-1"/>
    <n v="0"/>
    <n v="1"/>
    <s v="High"/>
    <s v="Significantly altered regional migration routes and redirected migration pressures toward Bosnia and Herzegovina."/>
    <s v="Euractiv"/>
    <s v="https://www.euractiv.com/section/politics/news/migrants-take-new-balkan-route-through-bosnia"/>
    <n v="5"/>
  </r>
  <r>
    <n v="12"/>
    <s v="Bosnia and Herzegovina"/>
    <x v="4"/>
    <s v="Rulebook on Entry and Stay of Aliens adopted"/>
    <s v="Legislative Framework"/>
    <n v="0.66"/>
    <n v="2"/>
    <n v="1"/>
    <n v="0"/>
    <n v="0"/>
    <n v="1"/>
    <n v="0.33"/>
    <s v="Low"/>
    <s v="Administrative and procedural regulation with limited broader operational consequences."/>
    <s v="Ministry of Foreign Affairs (BiH)"/>
    <s v="https://mvp.gov.ba/HTML/PDFDoc/Konzularno/Rulebook%20on%20entry%20and%20stay%20of%20aliens.pdf"/>
    <n v="3"/>
  </r>
  <r>
    <n v="12"/>
    <s v="Bosnia and Herzegovina"/>
    <x v="5"/>
    <s v="Strategy in the area of migration and asylum policy and the Action Plan for the period 2016-2020"/>
    <s v="Legislative Framework"/>
    <n v="1.98"/>
    <n v="3"/>
    <n v="1"/>
    <n v="0"/>
    <n v="1"/>
    <n v="1"/>
    <n v="0.66"/>
    <s v="Medium"/>
    <s v="Established a strategic framework for migration and asylum governance with moderate long-term institutional importance."/>
    <s v="Ministry of Security (BiH)"/>
    <s v="https://msb.gov.ba/vijesti/saopstenja/default.aspx?id=14351&amp;langTag=en-US"/>
    <n v="3"/>
  </r>
  <r>
    <n v="12"/>
    <s v="Bosnia and Herzegovina"/>
    <x v="6"/>
    <s v="Protocol on Technical Adaptation of SAA initialled"/>
    <s v="Legislative Framework"/>
    <n v="0.66"/>
    <n v="2"/>
    <n v="1"/>
    <n v="0"/>
    <n v="0"/>
    <n v="1"/>
    <n v="0.33"/>
    <s v="Low"/>
    <s v="Technical adaptation measure primarily linked to EU integration procedures rather than direct migration governance change."/>
    <s v="European Commission"/>
    <s v="https://enlargement.ec.europa.eu/system/files/2018-12/20161109_report_bosnia_and_herzegovina.pdf"/>
    <n v="5"/>
  </r>
  <r>
    <n v="12"/>
    <s v="Bosnia and Herzegovina"/>
    <x v="7"/>
    <s v="Bylaw No. 16 of 2016, Law on Asylum"/>
    <s v="Legislative Framework"/>
    <n v="0.66"/>
    <n v="2"/>
    <n v="1"/>
    <n v="0"/>
    <n v="0"/>
    <n v="1"/>
    <n v="0.33"/>
    <s v="Low"/>
    <s v="Secondary implementing legislation clarifying asylum procedures without substantially transforming the system."/>
    <s v="Refworld (UNHCR)"/>
    <s v="https://www.refworld.org/legal/legislation/natlegbod/2016/en/123226"/>
    <n v="4"/>
  </r>
  <r>
    <n v="12"/>
    <s v="Bosnia and Herzegovina"/>
    <x v="8"/>
    <s v="Action Plan for Implementation of UNSCR 1325 on Women, Peace and Security in Bosnia and Herzegovina"/>
    <s v="Legislative Framework"/>
    <n v="1.98"/>
    <n v="3"/>
    <n v="1"/>
    <n v="0"/>
    <n v="1"/>
    <n v="1"/>
    <n v="0.66"/>
    <s v="Medium"/>
    <s v="Important governance and protection framework addressing vulnerable groups, including migrant and refugee women."/>
    <s v="Women, Peace and Security Focal Points Network"/>
    <s v="https://wpsfocalpointsnetwork.org/wp-content/uploads/2021/07/Bosnia-and-Herzegovina-2018-2022.pdf"/>
    <n v="5"/>
  </r>
  <r>
    <n v="12"/>
    <s v="Bosnia and Herzegovina"/>
    <x v="9"/>
    <s v="Bihać emerges as the new hotspot"/>
    <s v="Crisis Response"/>
    <n v="-4"/>
    <n v="-4"/>
    <n v="-1"/>
    <n v="-1"/>
    <n v="-1"/>
    <n v="-1"/>
    <n v="1"/>
    <s v="High"/>
    <s v="Major humanitarian and migration-management turning point that transformed Bihać into a key bottleneck along the Balkan route."/>
    <s v="Movements Journal"/>
    <s v="https://movements-journal.org/issues/08.balkanroute/08.hromadzic--notes-from-the-field.html"/>
    <n v="6"/>
  </r>
  <r>
    <n v="12"/>
    <s v="Bosnia and Herzegovina"/>
    <x v="10"/>
    <s v="Urgent Measures Action Plan on Illegal Migration &amp; Border Security"/>
    <s v="Border Control"/>
    <n v="0"/>
    <n v="0"/>
    <n v="1"/>
    <n v="0"/>
    <n v="-1"/>
    <n v="0"/>
    <n v="0.66"/>
    <s v="Medium"/>
    <s v="Strengthened border-management and security capacities in response to rising migration pressures."/>
    <s v="Balkan Insight"/>
    <s v="https://balkaninsight.com/2018/06/19/bosnia-s-police-border-getting-new-200-members-06-19-2018"/>
    <n v="4"/>
  </r>
  <r>
    <n v="12"/>
    <s v="Bosnia and Herzegovina"/>
    <x v="11"/>
    <s v="Readmission Agreement with Pakistan enters into force (implementing protocol)"/>
    <s v="International Cooperation"/>
    <n v="0.66"/>
    <n v="1"/>
    <n v="1"/>
    <n v="0"/>
    <n v="-1"/>
    <n v="1"/>
    <n v="0.66"/>
    <s v="Medium"/>
    <s v="Important return-management and migration-control mechanism with moderate operational implications."/>
    <s v="European Commission"/>
    <s v="https://enlargement.ec.europa.eu/document/download/b20c3204-68d0-47e7-b344-5e2562a3adce_en"/>
    <n v="3"/>
  </r>
  <r>
    <n v="12"/>
    <s v="Bosnia and Herzegovina"/>
    <x v="12"/>
    <s v="Lipa camp destroyed by fire"/>
    <s v="Crisis Response"/>
    <n v="-3"/>
    <n v="-3"/>
    <n v="-1"/>
    <n v="0"/>
    <n v="-1"/>
    <n v="-1"/>
    <n v="1"/>
    <s v="High"/>
    <s v="Severe humanitarian and governance crisis that exposed weaknesses in Bosnia and Herzegovina’s migrant reception system."/>
    <s v="Balkan Insight"/>
    <s v="https://balkaninsight.com/2020/12/23/bosnias-troubled-lipa-camp-set-alight-on-closure-day/"/>
    <n v="8"/>
  </r>
  <r>
    <n v="12"/>
    <s v="Bosnia and Herzegovina"/>
    <x v="13"/>
    <s v="HRW: “Migrants left in the cold” report"/>
    <s v="Crisis Response"/>
    <n v="-3"/>
    <n v="-3"/>
    <n v="-1"/>
    <n v="0"/>
    <n v="-1"/>
    <n v="-1"/>
    <n v="1"/>
    <s v="High"/>
    <s v="Generated substantial international criticism and highlighted serious humanitarian deficiencies in migrant accommodation and protection."/>
    <s v="Human Rights Watch"/>
    <s v="https://www.hrw.org/news/2021/01/21/bosnia-and-herzegovina-migrants-left-cold"/>
    <n v="5"/>
  </r>
  <r>
    <n v="12"/>
    <s v="Bosnia and Herzegovina"/>
    <x v="14"/>
    <s v="New container-style Lipa reception centre opens"/>
    <s v="International Cooperation"/>
    <n v="-0.66"/>
    <n v="-1"/>
    <n v="1"/>
    <n v="0"/>
    <n v="-1"/>
    <n v="-1"/>
    <n v="0.66"/>
    <s v="Medium"/>
    <s v="Important improvement in reception infrastructure and accommodation capacity, though geographically concentrated."/>
    <s v="International Organization for Migration"/>
    <s v="https://bih.iom.int/news/european-union-supports-establishment-new-temporary-reception-centre-lipa"/>
    <n v="5"/>
  </r>
  <r>
    <n v="12"/>
    <s v="Bosnia and Herzegovina"/>
    <x v="15"/>
    <s v="Bylaw No. 75 of 2021 (Amendments to the Bylaw on Asylum)"/>
    <s v="Legislative Framework"/>
    <n v="0"/>
    <n v="0"/>
    <n v="0"/>
    <n v="0"/>
    <n v="0"/>
    <n v="0"/>
    <n v="0.33"/>
    <s v="Low"/>
    <s v="Technical amendment to asylum-related procedures with limited direct policy impact."/>
    <s v="Refworld (UNHCR)"/>
    <s v="https://www.refworld.org/legal/decreees/natlegbod/2021/bs/147521"/>
    <n v="3"/>
  </r>
  <r>
    <n v="12"/>
    <s v="Bosnia and Herzegovina"/>
    <x v="15"/>
    <s v="Migration and Asylum Strategy 2021-2025"/>
    <s v="Legislative Framework"/>
    <n v="1.32"/>
    <n v="2"/>
    <n v="1"/>
    <n v="0"/>
    <n v="0"/>
    <n v="1"/>
    <n v="0.66"/>
    <s v="Medium"/>
    <s v="Long-term strategic framework guiding migration and asylum governance for the 2021–2025 period."/>
    <s v="Ministry of Security (BiH)"/>
    <s v="https://msb.gov.ba/PDF/120120244.pdf"/>
    <n v="3"/>
  </r>
  <r>
    <n v="12"/>
    <s v="Bosnia and Herzegovina"/>
    <x v="16"/>
    <s v="Decision to tighten border controls"/>
    <s v="Legislative Framework"/>
    <n v="-2"/>
    <n v="-2"/>
    <n v="1"/>
    <n v="-1"/>
    <n v="-1"/>
    <n v="-1"/>
    <n v="1"/>
    <s v="High"/>
    <s v="Strengthened restrictive border-management practices with important regional and humanitarian implications."/>
    <s v="Balkan Insight"/>
    <s v="https://balkaninsight.com/2022/12/09/bosnia-to-tighten-border-controls-in-line-with-eu-demands/"/>
    <n v="4"/>
  </r>
  <r>
    <n v="12"/>
    <s v="Bosnia and Herzegovina"/>
    <x v="17"/>
    <s v="Amendments to Law on Foreigners (Official Gazette No. 63)"/>
    <s v="Legislative Framework"/>
    <n v="0"/>
    <n v="0"/>
    <n v="1"/>
    <n v="0"/>
    <n v="-1"/>
    <n v="0"/>
    <n v="0.66"/>
    <s v="Medium"/>
    <s v="Moderate legislative update affecting migration governance and regulation of foreigners."/>
    <s v="Law Firm Sajić"/>
    <s v="https://advokatskafirmasajic.com/blog/the-law-on-amendments-to-the-law-on-foreigners-of-bih-published-in-the-official-gazette-of-bih-no-63-of-15-september-2023-entered-into-force-on-september-23-2023/"/>
    <n v="3"/>
  </r>
  <r>
    <n v="12"/>
    <s v="Bosnia and Herzegovina"/>
    <x v="18"/>
    <s v="Mandate to negotiate a Frontex Status Agreement"/>
    <s v="International Cooperation"/>
    <n v="1.32"/>
    <n v="2"/>
    <n v="1"/>
    <n v="1"/>
    <n v="-1"/>
    <n v="1"/>
    <n v="0.66"/>
    <s v="Medium"/>
    <s v="Important step toward enhanced operational cooperation with the EU and Frontex in border management."/>
    <s v="European Commission"/>
    <s v="https://enlargement.ec.europa.eu/document/download/fa9da504-4ecb-4317-b583-c9fff0b833b2_en"/>
    <n v="4"/>
  </r>
  <r>
    <n v="12"/>
    <s v="Bosnia and Herzegovina"/>
    <x v="19"/>
    <s v="Draft Law on Border Control finalized"/>
    <s v="Legislative Framework"/>
    <n v="1.32"/>
    <n v="2"/>
    <n v="1"/>
    <n v="1"/>
    <n v="-1"/>
    <n v="1"/>
    <n v="0.66"/>
    <s v="Medium"/>
    <s v="Potentially significant institutional reform aimed at strengthening border-management governance and EU alignment."/>
    <s v="European Commission"/>
    <s v="https://enlargement.ec.europa.eu/document/download/451db011-6779-40ea-b34b-a0eeda451746_en?filename=Bosnia+and+Herzegovina+Report+2024.pdf"/>
    <n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7"/>
    <s v="Serbia"/>
    <x v="0"/>
    <s v="Opening of Preševo and Miratovac Reception Centres"/>
    <s v="Crisis Response"/>
    <n v="3"/>
    <n v="3"/>
    <n v="1"/>
    <n v="0"/>
    <n v="1"/>
    <n v="1"/>
    <n v="1"/>
    <s v="High"/>
    <s v="Reception centres improved Serbia’s humanitarian response capacity and aligned with EU-supported migrant management practices."/>
    <s v="International Organization for Migration"/>
    <s v="https://www.iom.int/sites/g/files/tmzbdl2616/files/country_appeal/file/IOM-European-Migration-Crisis-WB-Response-Plan-Appeal.pdf"/>
    <n v="4"/>
  </r>
  <r>
    <n v="7"/>
    <s v="Serbia"/>
    <x v="1"/>
    <s v="Hungary Implements Strict Border Controls, Affecting Serbia"/>
    <s v="Border Control"/>
    <n v="-4"/>
    <n v="-4"/>
    <n v="-1"/>
    <n v="-1"/>
    <n v="-1"/>
    <n v="-1"/>
    <n v="1"/>
    <s v="High"/>
    <s v="Hungary’s restrictive border policy created bottlenecks in Serbia, increased stranded migrant populations, and worsened regional tensions."/>
    <s v="The Guardian"/>
    <s v="https://www.theguardian.com/world/2015/sep/15/hungary-strict-new-border-controls-crackdown-refugees-serbia"/>
    <n v="7"/>
  </r>
  <r>
    <n v="7"/>
    <s v="Serbia"/>
    <x v="2"/>
    <s v="_x0009_Serbia pledges to keep borders open despite regional closures"/>
    <s v="International Cooperation"/>
    <n v="4"/>
    <n v="4"/>
    <n v="1"/>
    <n v="1"/>
    <n v="1"/>
    <n v="1"/>
    <n v="1"/>
    <s v="High"/>
    <s v="Keeping borders open supported humanitarian transit, reduced regional pressure, and aligned Serbia with cooperative EU migration management."/>
    <s v="UNHCR"/>
    <s v="https://www.unhcr.org/mt/3087-unhcr-chief-says-absolute-nonsense-blame-refugees-terror.html"/>
    <n v="4"/>
  </r>
  <r>
    <n v="7"/>
    <s v="Serbia"/>
    <x v="3"/>
    <s v="Serbia Bans Croatian Imports Amid Refugee Crisis"/>
    <s v="Crisis Response"/>
    <n v="-1.98"/>
    <n v="-3"/>
    <n v="-1"/>
    <n v="-1"/>
    <n v="0"/>
    <n v="-1"/>
    <n v="0.66"/>
    <s v="Medium"/>
    <s v="Trade restrictions and bilateral tensions with Croatia negatively affected regional cooperation during the refugee crisis."/>
    <s v="Al Jazeera"/>
    <s v="https://www.aljazeera.com/news/2015/9/25/tensions-between-croatia-and-serbia-rise-over-refugees"/>
    <n v="6"/>
  </r>
  <r>
    <n v="7"/>
    <s v="Serbia"/>
    <x v="4"/>
    <s v="Over 10.000 Migrants Stranded on Serbian-Croatian Border"/>
    <s v="Border Control"/>
    <n v="-3"/>
    <n v="-3"/>
    <n v="-1"/>
    <n v="-1"/>
    <n v="-1"/>
    <n v="0"/>
    <n v="1"/>
    <s v="High"/>
    <s v="Large numbers of stranded migrants created humanitarian and logistical pressure on Serbia and worsened migrant conditions."/>
    <s v="The Guardian"/>
    <s v="https://www.theguardian.com/world/2015/oct/19/refugees-stranded-on-serbian-croatian-border"/>
    <n v="6"/>
  </r>
  <r>
    <n v="7"/>
    <s v="Serbia"/>
    <x v="5"/>
    <s v="Initiation of Migrant Transfer Regime to Croatia"/>
    <s v="International Cooperation"/>
    <n v="1.98"/>
    <n v="3"/>
    <n v="1"/>
    <n v="1"/>
    <n v="0"/>
    <n v="1"/>
    <n v="0.66"/>
    <s v="Medium"/>
    <s v="The organized transfer regime improved coordination with Croatia and stabilized migration flows through the Western Balkan route."/>
    <s v="Commissariat for Refugees and Migration (Serbia)"/>
    <s v="https://kirs.gov.rs/eng/asylum/overview-of-activities-during-the-increased-influx-of-migrants"/>
    <n v="4"/>
  </r>
  <r>
    <n v="7"/>
    <s v="Serbia"/>
    <x v="6"/>
    <s v="Termination of Visa-Free Regime with Iran"/>
    <s v="Border Control"/>
    <n v="0.33"/>
    <n v="1"/>
    <n v="1"/>
    <n v="0"/>
    <n v="-1"/>
    <n v="1"/>
    <n v="0.33"/>
    <s v="Low"/>
    <s v="The termination of visa-free travel with Iran reduced irregular arrivals and aligned Serbia more closely with EU visa expectations."/>
    <s v="MENA Research Center"/>
    <s v="https://www.mena-researchcenter.org/new-migration-policy-on-the-balkans/"/>
    <n v="6"/>
  </r>
  <r>
    <n v="7"/>
    <s v="Serbia"/>
    <x v="7"/>
    <s v="EU Grants €28 Million for Border Management and €16 Million for Refugee Support"/>
    <s v="International Cooperation"/>
    <n v="1.98"/>
    <n v="3"/>
    <n v="1"/>
    <n v="0"/>
    <n v="1"/>
    <n v="1"/>
    <n v="0.66"/>
    <s v="Medium"/>
    <s v="EU financial support strengthened Serbia’s border management and refugee assistance capacities while improving cooperation with the EU."/>
    <s v="European External Action Service (EEAS)"/>
    <s v="https://www.eeas.europa.eu/node/39881_en"/>
    <n v="3"/>
  </r>
  <r>
    <n v="7"/>
    <s v="Serbia"/>
    <x v="8"/>
    <s v="Adoption of the Law on Asylum and Temporary Protection"/>
    <s v="Legislative Framework"/>
    <n v="3"/>
    <n v="3"/>
    <n v="1"/>
    <n v="0"/>
    <n v="1"/>
    <n v="1"/>
    <n v="1"/>
    <s v="High"/>
    <s v="The law modernized Serbia’s asylum framework and improved alignment with international and EU protection standards."/>
    <s v="Refworld (UNHCR)"/>
    <s v="https://www.refworld.org/legal/legislation/natlegbod/2018/en/123545"/>
    <n v="3"/>
  </r>
  <r>
    <n v="7"/>
    <s v="Serbia"/>
    <x v="9"/>
    <s v="Rulebook on House Rules in Asylum Centres"/>
    <s v="Legislative Framework"/>
    <n v="1.98"/>
    <n v="3"/>
    <n v="1"/>
    <n v="0"/>
    <n v="1"/>
    <n v="1"/>
    <n v="0.66"/>
    <s v="Medium"/>
    <s v="The rulebook standardized asylum-centre procedures and improved management and living conditions within reception facilities."/>
    <s v="Refworld (UNHCR)"/>
    <s v="https://www.refworld.org/legal/decreees/natlegbod/2018/en/123509"/>
    <n v="3"/>
  </r>
  <r>
    <n v="7"/>
    <s v="Serbia"/>
    <x v="10"/>
    <s v="_x0009_Establishment of the Coordination Body and launch of the Economic Migration Strategy"/>
    <s v="Legislative Framework"/>
    <n v="0.66"/>
    <n v="2"/>
    <n v="1"/>
    <n v="0"/>
    <n v="0"/>
    <n v="1"/>
    <n v="0.33"/>
    <s v="Low"/>
    <s v="The coordination body and migration strategy improved Serbia’s institutional approach to labour and economic migration management."/>
    <s v="Government of Serbia"/>
    <s v="https://www.srbija.gov.rs/vest/en/150705/government-adopts-economic-migration-strategy.php"/>
    <n v="4"/>
  </r>
  <r>
    <n v="7"/>
    <s v="Serbia"/>
    <x v="10"/>
    <s v="Government adopts Economic Migration Strategy 2021–2027"/>
    <s v="Legislative Framework"/>
    <n v="0.66"/>
    <n v="2"/>
    <n v="1"/>
    <n v="0"/>
    <n v="0"/>
    <n v="1"/>
    <n v="0.33"/>
    <s v="Low"/>
    <s v="The strategy provided a long-term framework for managing labour migration and demographic challenges in cooperation with EU standards."/>
    <s v="Ministry of Labour, Employment, Veteran and Social Affairs (Serbia)"/>
    <s v="https://www.minrzs.gov.rs/sites/default/files/2021-02/ENG_%20Strategija%20ekonomske%20migracije%202021-2027-30_10%20%28002%29.pdf"/>
    <n v="3"/>
  </r>
  <r>
    <n v="7"/>
    <s v="Serbia"/>
    <x v="11"/>
    <s v="Temporary closure of Serbia’s borders due to COVID-19"/>
    <s v="Crisis Response"/>
    <n v="-1.32"/>
    <n v="-2"/>
    <n v="0"/>
    <n v="-1"/>
    <n v="-1"/>
    <n v="0"/>
    <n v="0.66"/>
    <s v="Medium"/>
    <s v="COVID-19 border closures restricted mobility and asylum access while disrupting regional migration movements."/>
    <s v="ReliefWeb"/>
    <s v="https://reliefweb.int/report/serbia/between-closed-borders-2020-21-joint-agency-paper-refugees-and-migrants-serbia-2020"/>
    <n v="6"/>
  </r>
  <r>
    <n v="7"/>
    <s v="Serbia"/>
    <x v="12"/>
    <s v="Restrictions on movement for migrants and asylum-seekers in reception centres"/>
    <s v="Crisis Response"/>
    <n v="-0.33"/>
    <n v="-1"/>
    <n v="0"/>
    <n v="0"/>
    <n v="-1"/>
    <n v="0"/>
    <n v="0.33"/>
    <s v="Low"/>
    <s v="Movement restrictions limited migrants’ freedoms and reduced access to services during the pandemic period."/>
    <s v="Balkan Insight"/>
    <s v="https://balkaninsight.com/2020/03/17/serbia-restricts-movement-for-migrants-asylum-seekers"/>
    <n v="4"/>
  </r>
  <r>
    <n v="7"/>
    <s v="Serbia"/>
    <x v="13"/>
    <s v="Finalization of Amendments to the Asylum Act"/>
    <s v="Legislative Framework"/>
    <n v="1.98"/>
    <n v="3"/>
    <n v="1"/>
    <n v="0"/>
    <n v="1"/>
    <n v="1"/>
    <n v="0.66"/>
    <s v="Medium"/>
    <s v="The amendments improved asylum procedures and strengthened Serbia’s legal migration governance framework."/>
    <s v="Asylum Information Database (AIDA)"/>
    <s v="https://asylumineurope.org/reports/country/serbia/asylum-procedure/general/short-overview-asylum-procedure/"/>
    <n v="4"/>
  </r>
  <r>
    <n v="7"/>
    <s v="Serbia"/>
    <x v="14"/>
    <s v="Serbia Becomes Observer Country to the European Migration Network"/>
    <s v="International Cooperation"/>
    <n v="0.66"/>
    <n v="2"/>
    <n v="1"/>
    <n v="0"/>
    <n v="0"/>
    <n v="1"/>
    <n v="0.33"/>
    <s v="Low"/>
    <s v="Observer status strengthened Serbia’s institutional cooperation with EU migration bodies and improved policy coordination."/>
    <s v="European Commission"/>
    <s v="https://home-affairs.ec.europa.eu/news/serbia-becomes-observer-country-european-migration-network-2023-03-16_en"/>
    <n v="5"/>
  </r>
  <r>
    <n v="7"/>
    <s v="Serbia"/>
    <x v="15"/>
    <s v="Hundreds of police deployed to Hungary border zone after deadly migrant shooting"/>
    <s v="Crisis Response"/>
    <n v="0"/>
    <n v="0"/>
    <n v="1"/>
    <n v="0"/>
    <n v="-1"/>
    <n v="0"/>
    <n v="0.33"/>
    <s v="Low"/>
    <s v="Increased police deployment improved domestic security control but negatively affected migrant conditions near the border."/>
    <s v="Associated Press"/>
    <s v="https://apnews.com/article/583b81ee9a539e3788fae7b5481284ac"/>
    <n v="7"/>
  </r>
  <r>
    <n v="7"/>
    <s v="Serbia"/>
    <x v="16"/>
    <s v="Increased Arrivals Amid Evictions and Raids"/>
    <s v="Crisis Response"/>
    <n v="-3"/>
    <n v="-3"/>
    <n v="-1"/>
    <n v="0"/>
    <n v="-1"/>
    <n v="-1"/>
    <n v="1"/>
    <s v="High"/>
    <s v="Evictions and raids worsened humanitarian conditions for migrants and increased criticism from human rights organizations."/>
    <s v="European Council on Refugees and Exiles (ECRE)"/>
    <s v="https://ecre.org/balkan-route-increased-arrivals-in-serbia-amid-evictions-and-raids-croatia-slovenia-and-austria-introduce-internal-border-checks-to-curb-migration-migrants-report-being-treated-like-anima/"/>
    <n v="4"/>
  </r>
  <r>
    <n v="7"/>
    <s v="Serbia"/>
    <x v="17"/>
    <s v="Legislative reforms streamlining work permits &amp; residence for foreigners"/>
    <s v="Legislative Framework"/>
    <n v="0.66"/>
    <n v="2"/>
    <n v="1"/>
    <n v="0"/>
    <n v="0"/>
    <n v="1"/>
    <n v="0.33"/>
    <s v="Low"/>
    <s v="The reforms simplified residence and work permit procedures, improving Serbia’s attractiveness for legal labour migration."/>
    <s v="Immigrate to Serbia"/>
    <s v="https://immigratetoserbia.com/streamlining-work-permits-and-residence-for-foreigners-in-serbia-recent-legislative-changes"/>
    <n v="3"/>
  </r>
  <r>
    <n v="7"/>
    <s v="Serbia"/>
    <x v="18"/>
    <s v="Allegations of Migrant Mistreatment at Serbian Border"/>
    <s v="Crisis Response"/>
    <n v="-4"/>
    <n v="-4"/>
    <n v="-1"/>
    <n v="-1"/>
    <n v="-1"/>
    <n v="-1"/>
    <n v="1"/>
    <s v="High"/>
    <s v="Reports of abuse and degrading treatment at borders seriously harmed migrant welfare and damaged Serbia’s international reputation."/>
    <s v="The Guardian"/>
    <s v="https://www.theguardian.com/global-development/2024/feb/22/videos-show-migrants-stripped-of-clothing-in-freezing-temperatures-at-serbian-border"/>
    <n v="6"/>
  </r>
  <r>
    <n v="7"/>
    <s v="Serbia"/>
    <x v="19"/>
    <s v="First travel documents were issued to persons granted refugee status"/>
    <s v="Legislative Framework"/>
    <n v="1.98"/>
    <n v="3"/>
    <n v="1"/>
    <n v="0"/>
    <n v="1"/>
    <n v="1"/>
    <n v="0.66"/>
    <s v="Medium"/>
    <s v="Issuing refugee travel documents strengthened legal protection and integration opportunities for recognized refugees."/>
    <s v="Asylum Information Database (AIDA)"/>
    <s v="https://asylumineurope.org/reports/country/serbia/overview-main-changes-previous-report-update/"/>
    <n v="3"/>
  </r>
  <r>
    <n v="7"/>
    <s v="Serbia"/>
    <x v="20"/>
    <s v="EU–Serbia Operational Cooperation Agreement with Frontex"/>
    <s v="International Cooperation"/>
    <n v="1.32"/>
    <n v="2"/>
    <n v="1"/>
    <n v="1"/>
    <n v="-1"/>
    <n v="1"/>
    <n v="0.66"/>
    <s v="Medium"/>
    <s v="The Frontex agreement improved operational cooperation with the EU on border management but raised concerns regarding migrant treatment."/>
    <s v="European Commission"/>
    <s v="https://home-affairs.ec.europa.eu/news/eu-signs-agreement-serbia-strengthen-collaboration-migration-and-border-management-2024-06-25_en"/>
    <n v="4"/>
  </r>
  <r>
    <n v="7"/>
    <s v="Serbia"/>
    <x v="21"/>
    <s v="Serbia refuses to build migrant detention centres but agrees joint border patrols with Hungary and Slovakia (Komárno meeting)"/>
    <s v="International Cooperation"/>
    <n v="0.66"/>
    <n v="2"/>
    <n v="0"/>
    <n v="1"/>
    <n v="0"/>
    <n v="1"/>
    <n v="0.33"/>
    <s v="Low"/>
    <s v="Joint patrol cooperation strengthened regional migration management coordination without introducing harsher detention measures."/>
    <s v="Reuters"/>
    <s v="https://www.reuters.com/world/europe/slovak-pm-fico-says-fight-against-illegal-migration-an-absolute-priority-2024-10-22"/>
    <n v="6"/>
  </r>
  <r>
    <n v="7"/>
    <s v="Serbia"/>
    <x v="22"/>
    <s v="Serbia Recognized as Key Partner for EU in Managing Migration Flows"/>
    <s v="International Cooperation"/>
    <n v="0.66"/>
    <n v="2"/>
    <n v="1"/>
    <n v="0"/>
    <n v="0"/>
    <n v="1"/>
    <n v="0.33"/>
    <s v="Low"/>
    <s v="EU recognition confirmed Serbia’s growing importance in regional migration governance and strengthened EU relations."/>
    <s v="Government of Serbia"/>
    <s v="https://www.srbija.gov.rs/vest/en/235342/serbia-a-key-partner-for-eu-in-managing-migration-flows.php"/>
    <n v="4"/>
  </r>
  <r>
    <n v="7"/>
    <s v="Serbia"/>
    <x v="23"/>
    <s v="Expulsion of Foreign Activists from Serbia"/>
    <s v="Crisis Response"/>
    <n v="-1.32"/>
    <n v="-2"/>
    <n v="-1"/>
    <n v="0"/>
    <n v="0"/>
    <n v="-1"/>
    <n v="0.66"/>
    <s v="Medium"/>
    <s v="The expulsion of activists raised concerns regarding civil rights and democratic standards, negatively affecting Serbia’s international image."/>
    <s v="Cadena SER"/>
    <s v="https://cadenaser.com/nacional/2025/01/24/mas-de-300-organizaciones-sociales-europeas-denuncian-la-expulsion-de-activistas-de-serbia-cadena-ser/"/>
    <n v="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n v="13"/>
    <s v="North Macedonia"/>
    <x v="0"/>
    <s v="Temporary 72-hour transit visas introduced"/>
    <s v="Crisis Response"/>
    <n v="2"/>
    <n v="2"/>
    <n v="0"/>
    <n v="1"/>
    <n v="1"/>
    <n v="0"/>
    <n v="1"/>
    <s v="High"/>
    <s v="The introduction of temporary transit visas facilitated regulated migrant movement through North Macedonia and reduced irregular crossings."/>
    <s v="Centre for Eastern Studies (OSW)"/>
    <s v="https://www.osw.waw.pl/en/publikacje/analyses/2015-08-26/macedonia-and-migrant-crisis"/>
    <n v="3"/>
  </r>
  <r>
    <n v="13"/>
    <s v="North Macedonia"/>
    <x v="1"/>
    <s v="State of emergency declared in border regions"/>
    <s v="Crisis Response"/>
    <n v="-0.66"/>
    <n v="-1"/>
    <n v="1"/>
    <n v="-1"/>
    <n v="-1"/>
    <n v="0"/>
    <n v="0.66"/>
    <s v="Medium"/>
    <s v="The state of emergency increased state control over migration flows but negatively affected migrant access and conditions."/>
    <s v="Centre for Eastern Studies (OSW)"/>
    <s v="https://www.osw.waw.pl/en/publikacje/analyses/2015-08-26/macedonia-and-migrant-crisis"/>
    <n v="7"/>
  </r>
  <r>
    <n v="13"/>
    <s v="North Macedonia"/>
    <x v="2"/>
    <s v="Tightened controls at Greek border points"/>
    <s v="Border Control"/>
    <n v="-0.66"/>
    <n v="-1"/>
    <n v="1"/>
    <n v="-1"/>
    <n v="-1"/>
    <n v="0"/>
    <n v="0.66"/>
    <s v="Medium"/>
    <s v="Tightened border controls reduced transit flows and contributed to migrant bottlenecks along the Balkan route."/>
    <s v="The Guardian"/>
    <s v="https://www.theguardian.com/world/2015/nov/23/stranded-migrants-sew-mouths-shut-in-protest-against-balkan-border-controls"/>
    <n v="5"/>
  </r>
  <r>
    <n v="13"/>
    <s v="North Macedonia"/>
    <x v="3"/>
    <s v="Construction of the first razor-wire fence on the Greek border"/>
    <s v="Border Control"/>
    <n v="-2"/>
    <n v="-2"/>
    <n v="1"/>
    <n v="-1"/>
    <n v="-1"/>
    <n v="-1"/>
    <n v="1"/>
    <s v="High"/>
    <s v="The construction of the border fence significantly restricted migration flows and negatively affected regional mobility and migrant welfare."/>
    <s v="Reuters"/>
    <s v="https://www.reuters.com/article/sustainability/police-migrants-clash-on-macedonia-border-soldiers-build-fence-idUSKBN0TH04L"/>
    <n v="5"/>
  </r>
  <r>
    <n v="13"/>
    <s v="North Macedonia"/>
    <x v="4"/>
    <s v="Law on International and Temporary Protection of 2018"/>
    <s v="Legislative Framework"/>
    <n v="3"/>
    <n v="3"/>
    <n v="1"/>
    <n v="0"/>
    <n v="1"/>
    <n v="1"/>
    <n v="1"/>
    <s v="High"/>
    <s v="The law strengthened the asylum framework and improved alignment with EU and international protection standards."/>
    <s v="Refworld (UNHCR)"/>
    <s v="https://www.refworld.org/legal/decreees/natlegbod/2018/en/121462"/>
    <n v="3"/>
  </r>
  <r>
    <n v="13"/>
    <s v="North Macedonia"/>
    <x v="5"/>
    <s v="State of Emergency &amp; Border Closures due to COVID-19"/>
    <s v="Crisis Response"/>
    <n v="-1.32"/>
    <n v="-2"/>
    <n v="0"/>
    <n v="-1"/>
    <n v="-1"/>
    <n v="0"/>
    <n v="0.66"/>
    <s v="Medium"/>
    <s v="COVID-19 emergency measures and border closures restricted mobility and asylum access while disrupting regional migration routes."/>
    <s v="Global Detention Project"/>
    <s v="https://www.globaldetentionproject.org/29-may-2020-macedonia"/>
    <n v="5"/>
  </r>
  <r>
    <n v="13"/>
    <s v="North Macedonia"/>
    <x v="6"/>
    <s v="IOM Country Strategy for North Macedonia 2022–2025 launched"/>
    <s v="International Cooperation"/>
    <n v="1.98"/>
    <n v="3"/>
    <n v="1"/>
    <n v="0"/>
    <n v="1"/>
    <n v="1"/>
    <n v="0.66"/>
    <s v="Medium"/>
    <s v="The IOM strategy strengthened migration governance capacities and improved international cooperation on migration management."/>
    <s v="International Organization for Migration"/>
    <s v="https://north-macedonia.iom.int/sites/g/files/tmzbdl2301/files/documents/2023-02/IOM%20Country%20Strategy%20for%20North%20Macedonia%202022-2025.pdf"/>
    <n v="3"/>
  </r>
  <r>
    <n v="13"/>
    <s v="North Macedonia"/>
    <x v="7"/>
    <s v="EASO–North Macedonia Roadmap for CEAS Alignment"/>
    <s v="International Cooperation"/>
    <n v="1.98"/>
    <n v="3"/>
    <n v="1"/>
    <n v="0"/>
    <n v="1"/>
    <n v="1"/>
    <n v="0.66"/>
    <s v="Medium"/>
    <s v="The roadmap supported alignment with the Common European Asylum System and strengthened EU cooperation."/>
    <s v="European Union Agency for Asylum (EUAA)"/>
    <s v="https://euaa.europa.eu/sites/default/files/2022-02/MK_RM_Cover.pd"/>
    <n v="3"/>
  </r>
  <r>
    <n v="13"/>
    <s v="North Macedonia"/>
    <x v="8"/>
    <s v="Resolution on Migration Policy 2021–2025 adopted"/>
    <s v="Legislative Framework"/>
    <n v="0.66"/>
    <n v="2"/>
    <n v="1"/>
    <n v="0"/>
    <n v="0"/>
    <n v="1"/>
    <n v="0.33"/>
    <s v="Low"/>
    <s v="The migration policy resolution provided a long-term strategic framework for migration governance and policy coordination."/>
    <s v="United Nations North Macedonia"/>
    <s v="https://northmacedonia.un.org/en/173666-new-resolution-migration-policy-2021-2025-was-adopted-parliament"/>
    <n v="3"/>
  </r>
  <r>
    <n v="13"/>
    <s v="North Macedonia"/>
    <x v="9"/>
    <s v="Administrative Arrangement for Frontex operational activities signed"/>
    <s v="International Cooperation"/>
    <n v="1.32"/>
    <n v="2"/>
    <n v="1"/>
    <n v="1"/>
    <n v="-1"/>
    <n v="1"/>
    <n v="0.66"/>
    <s v="Medium"/>
    <s v="The Frontex arrangement strengthened operational border cooperation with the EU while raising concerns regarding migrant treatment."/>
    <s v="Council of the European Union"/>
    <s v="https://www.consilium.europa.eu/en/press/press-releases/2022/10/13/border-management-council-decides-to-sign-agreement-with-north-macedonia-on-frontex-operational-cooperation"/>
    <n v="5"/>
  </r>
  <r>
    <n v="13"/>
    <s v="North Macedonia"/>
    <x v="10"/>
    <s v="Amendments to Civil Registration Law to prevent statelessness"/>
    <s v="Legislative Framework"/>
    <n v="1.98"/>
    <n v="3"/>
    <n v="1"/>
    <n v="0"/>
    <n v="1"/>
    <n v="1"/>
    <n v="0.66"/>
    <s v="Medium"/>
    <s v="The amendments reduced the risk of statelessness and improved legal protection and inclusion for vulnerable populations."/>
    <s v="European Network on Statelessness"/>
    <s v="https://index.statelessness.eu/news/north-macedonia-takes-positive-step-towards-ending-statelessness?language=en"/>
    <n v="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8"/>
    <s v="Montenegro"/>
    <x v="0"/>
    <s v="Government of Montenegro adopted the Action Plan"/>
    <s v="Legislative Framework"/>
    <n v="0.66"/>
    <n v="2"/>
    <n v="1"/>
    <n v="0"/>
    <n v="0"/>
    <n v="1"/>
    <n v="0.33"/>
    <s v="Low"/>
    <s v="The Action Plan improved Montenegro’s institutional preparedness for migration management and supported cooperation with EU migration frameworks."/>
    <s v="Parliament of Montenegro"/>
    <s v="http://arhiva.skupstina.me/images/dokumenti/biblioteka-i-istrazivanje/2017/17.pdf"/>
    <n v="4"/>
  </r>
  <r>
    <n v="8"/>
    <s v="Montenegro"/>
    <x v="1"/>
    <s v="Montenegro Asylum Law"/>
    <s v="Legislative Framework"/>
    <n v="1.98"/>
    <n v="3"/>
    <n v="1"/>
    <n v="0"/>
    <n v="1"/>
    <n v="1"/>
    <n v="0.66"/>
    <s v="Medium"/>
    <s v="The asylum law strengthened the legal protection framework for asylum seekers and aligned Montenegro more closely with EU standards."/>
    <s v="Refworld (UNHCR)"/>
    <s v="https://www.refworld.org/legal/legislation/natlegbod/2016/en/104945"/>
    <n v="3"/>
  </r>
  <r>
    <n v="8"/>
    <s v="Montenegro"/>
    <x v="2"/>
    <s v="Law on foreigners"/>
    <s v="Legislative Framework"/>
    <n v="0.66"/>
    <n v="2"/>
    <n v="1"/>
    <n v="0"/>
    <n v="0"/>
    <n v="1"/>
    <n v="0.33"/>
    <s v="Low"/>
    <s v="The Law on Foreigners improved regulation of migration and residence procedures while strengthening legislative alignment with EU requirements."/>
    <s v="Council of Europe"/>
    <s v="https://www.coe.int/en/web/migration-and-refugees/-/montenegro-law-on-foreigners"/>
    <n v="3"/>
  </r>
  <r>
    <n v="8"/>
    <s v="Montenegro"/>
    <x v="3"/>
    <s v="Adoption of the Strategy on Migration and Reintegration of Returnees"/>
    <s v="Legislative Framework"/>
    <n v="0.66"/>
    <n v="2"/>
    <n v="1"/>
    <n v="0"/>
    <n v="0"/>
    <n v="1"/>
    <n v="0.33"/>
    <s v="Low"/>
    <s v="The migration and reintegration strategy provided a long-term framework for migration governance and returnee reintegration policies."/>
    <s v="Government of Montenegro"/>
    <s v="https://www.gov.me/en/documents/15ef985b-eddb-4a41-a58a-63fee7e8455c"/>
    <n v="4"/>
  </r>
  <r>
    <n v="8"/>
    <s v="Montenegro"/>
    <x v="4"/>
    <s v="Agreement with Frontex"/>
    <s v="International Cooperation"/>
    <n v="1.32"/>
    <n v="2"/>
    <n v="1"/>
    <n v="1"/>
    <n v="-1"/>
    <n v="1"/>
    <n v="0.66"/>
    <s v="Medium"/>
    <s v="The Frontex agreement strengthened operational border cooperation with the EU and enhanced Montenegro’s role in regional migration management."/>
    <s v="European Commission"/>
    <s v="https://enlargement.ec.europa.eu/news/border-management-eu-signs-status-agreement-montenegro-2023-05-16_en"/>
    <n v="4"/>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5"/>
    <s v="Albania"/>
    <x v="0"/>
    <s v="Instruction of the Minister of Internal Affairs no. 293 on the treatment of aliens staying irregularly"/>
    <s v="Legislative Framework"/>
    <n v="0"/>
    <n v="0"/>
    <n v="1"/>
    <n v="0"/>
    <n v="-1"/>
    <n v="0"/>
    <n v="0.33"/>
    <s v="Low"/>
    <s v="The instruction standardized procedures for irregular migrants but introduced stricter controls that negatively affected migrant flexibility and access."/>
    <s v="Ministry of Interior (Albania)"/>
    <s v="https://mb.gov.al/wp-content/uploads/2024/10/EN-_Profili_i_Migracionit_2015-2.pdf"/>
    <n v="3"/>
  </r>
  <r>
    <n v="5"/>
    <s v="Albania"/>
    <x v="1"/>
    <s v="Albanian Parliament approved the law no. 74/2016, which amends law no. 108/2013 &quot;On Foreigners&quot;"/>
    <s v="Legislative Framework"/>
    <n v="0.66"/>
    <n v="2"/>
    <n v="1"/>
    <n v="0"/>
    <n v="0"/>
    <n v="1"/>
    <n v="0.33"/>
    <s v="Low"/>
    <s v="The amendments to the Law on Foreigners improved migration governance and strengthened alignment with EU legal frameworks."/>
    <s v="Mondaq"/>
    <s v="https://www.mondaq.com/work-visas/525182/legal-news-august-2016"/>
    <n v="4"/>
  </r>
  <r>
    <n v="5"/>
    <s v="Albania"/>
    <x v="2"/>
    <s v="Adoption of National Strategy on Migration and Action Plan 2019–2022"/>
    <s v="Legislative Framework"/>
    <n v="0.66"/>
    <n v="2"/>
    <n v="1"/>
    <n v="0"/>
    <n v="0"/>
    <n v="1"/>
    <n v="0.33"/>
    <s v="Low"/>
    <s v="The migration strategy established a long-term framework for migration governance and institutional coordination."/>
    <s v="International Organization for Migration"/>
    <s v="https://albania.iom.int/resources/national-strategy-migration-and-action-plan-2019-2022"/>
    <n v="3"/>
  </r>
  <r>
    <n v="5"/>
    <s v="Albania"/>
    <x v="3"/>
    <s v="Law on Citizenship"/>
    <s v="Legislative Framework"/>
    <n v="0.66"/>
    <n v="2"/>
    <n v="1"/>
    <n v="0"/>
    <n v="0"/>
    <n v="1"/>
    <n v="0.33"/>
    <s v="Low"/>
    <s v="The citizenship law modernized nationality procedures and improved Albania’s legislative alignment with European standards."/>
    <s v="Refworld (UNHCR)"/>
    <s v="https://www.refworld.org/legal/legislation/natlegbod/2020/en/123407"/>
    <n v="3"/>
  </r>
  <r>
    <n v="5"/>
    <s v="Albania"/>
    <x v="4"/>
    <s v="Law on Asylum"/>
    <s v="Legislative Framework"/>
    <n v="3"/>
    <n v="3"/>
    <n v="1"/>
    <n v="0"/>
    <n v="1"/>
    <n v="1"/>
    <n v="1"/>
    <s v="High"/>
    <s v="The asylum law significantly strengthened the legal protection framework for asylum seekers and aligned Albania with EU and international standards."/>
    <s v="Refworld (UNHCR)"/>
    <s v="https://www.refworld.org/legal/legislation/natlegbod/2021/en/123556"/>
    <n v="3"/>
  </r>
  <r>
    <n v="5"/>
    <s v="Albania"/>
    <x v="5"/>
    <s v="Albania signs new Status Agreement with Frontex"/>
    <s v="International Cooperation"/>
    <n v="1.32"/>
    <n v="2"/>
    <n v="1"/>
    <n v="1"/>
    <n v="-1"/>
    <n v="1"/>
    <n v="0.66"/>
    <s v="Medium"/>
    <s v="The Frontex agreement enhanced operational cooperation with the EU and strengthened Albania’s role in regional border management."/>
    <s v="EU Monitor"/>
    <s v="https://www.eumonitor.eu/9353000/1/j4nvhdfdk3hydzq_j9vvik7m1c3gyxp/vmizb35vhqy3"/>
    <n v="4"/>
  </r>
  <r>
    <n v="5"/>
    <s v="Albania"/>
    <x v="6"/>
    <s v="Albania installs British-funded cameras along its border"/>
    <s v="Border Control"/>
    <n v="0.33"/>
    <n v="1"/>
    <n v="1"/>
    <n v="0"/>
    <n v="-1"/>
    <n v="1"/>
    <n v="0.33"/>
    <s v="Low"/>
    <s v="The installation of surveillance cameras strengthened border monitoring and irregular migration control but increased securitization of migration management."/>
    <s v="Associated Press"/>
    <s v="https://apnews.com/article/albania-britain-illegal-migration-19e335a01efd7463072da5e8823e3c20"/>
    <n v="8"/>
  </r>
  <r>
    <n v="5"/>
    <s v="Albania"/>
    <x v="7"/>
    <s v="Italian migration centres open in Albania under controversial deal"/>
    <s v="International Cooperation"/>
    <n v="-3"/>
    <n v="-3"/>
    <n v="0"/>
    <n v="-1"/>
    <n v="-1"/>
    <n v="-1"/>
    <n v="1"/>
    <s v="High"/>
    <s v="The agreement to host Italian migration centres generated strong political and human-rights criticism, affecting migrants and Albania’s international image."/>
    <s v="The Guardian"/>
    <s v="https://www.theguardian.com/world/2024/oct/11/italy-migration-centres-open-albania-controversial-deal"/>
    <n v="6"/>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9"/>
    <s v="Kosovo"/>
    <x v="0"/>
    <s v="Stabilization and Association Agreement (SAA) between Kosovo and EU enters into force"/>
    <s v="Legislative Framework"/>
    <n v="1.32"/>
    <n v="2"/>
    <n v="1"/>
    <n v="0"/>
    <n v="0"/>
    <n v="1"/>
    <n v="0.66"/>
    <s v="Medium"/>
    <s v="Strengthened Kosovo’s cooperation and alignment with EU migration and governance standards, improving institutional coordination and policy harmonization."/>
    <s v="Assembly of Kosovo"/>
    <s v="https://www.kuvendikosoves.org/eng/european-union-integration-process/"/>
    <n v="3"/>
  </r>
  <r>
    <n v="9"/>
    <s v="Kosovo"/>
    <x v="1"/>
    <s v="Regulation (MIA) No. 04/2018 on operation of the detention center for foreigners"/>
    <s v="Legislative Framework"/>
    <n v="0"/>
    <n v="0"/>
    <n v="1"/>
    <n v="0"/>
    <n v="-1"/>
    <n v="0"/>
    <n v="0.33"/>
    <s v="Low"/>
    <s v="Primarily administrative in nature, with limited broader regional impact, though it affected detention management and migrant treatment procedures."/>
    <s v="Republic of Kosovo"/>
    <s v="https://www.ecoi.net/en/file/local/2044747/601aaf494.pdf"/>
    <n v="3"/>
  </r>
  <r>
    <n v="9"/>
    <s v="Kosovo"/>
    <x v="2"/>
    <s v="Law No. 06/L-026 on Asylum"/>
    <s v="Legislative Framework"/>
    <n v="3"/>
    <n v="3"/>
    <n v="1"/>
    <n v="0"/>
    <n v="1"/>
    <n v="1"/>
    <n v="1"/>
    <s v="High"/>
    <s v="Significantly improved Kosovo’s asylum framework and legal protections for asylum seekers in line with international and EU standards."/>
    <s v="Official Gazette of Kosovo"/>
    <s v="https://gzk.rks-gov.net/ActDetail.aspx?ActID=16389"/>
    <n v="3"/>
  </r>
  <r>
    <n v="9"/>
    <s v="Kosovo"/>
    <x v="3"/>
    <s v="Regulation (GRK) No. 09/2019 on Integration of Foreigners"/>
    <s v="Legislative Framework"/>
    <n v="1.98"/>
    <n v="3"/>
    <n v="1"/>
    <n v="0"/>
    <n v="1"/>
    <n v="1"/>
    <n v="0.66"/>
    <s v="Medium"/>
    <s v="Enhanced integration policies and institutional support for foreigners, improving long-term inclusion mechanisms."/>
    <s v="Refworld (UNHCR)"/>
    <s v="https://www.refworld.org/legal/legislation/natlegbod/2019/en/123452?prevPage=/node/123452"/>
    <n v="4"/>
  </r>
  <r>
    <n v="9"/>
    <s v="Kosovo"/>
    <x v="4"/>
    <s v="Kosovo adopts the Strategy on Migration 2021-2025"/>
    <s v="Legislative Framework"/>
    <n v="1.32"/>
    <n v="2"/>
    <n v="1"/>
    <n v="0"/>
    <n v="0"/>
    <n v="1"/>
    <n v="0.66"/>
    <s v="Medium"/>
    <s v="Strengthened strategic migration governance and policy coordination while supporting closer alignment with EU migration priorities."/>
    <s v="Ministry of Internal Affairs (Kosovo)"/>
    <s v="https://mpb.rks-gov.net/Uploads/Documents/Pdf/EN/378/Strategy-on-Migration-2021-2025-anglisht.pdf"/>
    <n v="3"/>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n v="2"/>
    <s v="Hungary"/>
    <x v="0"/>
    <s v="Hungary suspends key EU asylum rule"/>
    <s v="International Cooperation"/>
    <n v="-3"/>
    <n v="-3"/>
    <n v="0"/>
    <n v="-1"/>
    <n v="-1"/>
    <n v="-1"/>
    <n v="1"/>
    <s v="High"/>
    <s v="Suspending the EU asylum transfer rule undermined EU asylum cooperation and increased tensions regarding responsibility-sharing."/>
    <s v="BBC"/>
    <s v="https://www.bbc.com/news/world-europe-33244800"/>
    <n v="7"/>
  </r>
  <r>
    <n v="2"/>
    <s v="Hungary"/>
    <x v="1"/>
    <s v="Completion of border fence with Serbia, Enacts tough new laws"/>
    <s v="Border Control"/>
    <n v="-2"/>
    <n v="-2"/>
    <n v="1"/>
    <n v="-1"/>
    <n v="-1"/>
    <n v="-1"/>
    <n v="1"/>
    <s v="High"/>
    <s v="The Serbian border fence and restrictive laws significantly reduced irregular crossings while negatively affecting migrant access and regional cooperation."/>
    <s v="International Business Times"/>
    <s v="https://www.ibtimes.com/european-refugee-crisis-hungary-enacts-tough-new-laws-closes-key-border-crossing-2096891"/>
    <n v="5"/>
  </r>
  <r>
    <n v="2"/>
    <s v="Hungary"/>
    <x v="2"/>
    <s v="Hungary seals its 216-mile border with Croatia after completion of a fence"/>
    <s v="Border Control"/>
    <n v="-2"/>
    <n v="-2"/>
    <n v="1"/>
    <n v="-1"/>
    <n v="-1"/>
    <n v="-1"/>
    <n v="1"/>
    <s v="High"/>
    <s v="The closure of the Croatian border redirected migration routes across the Western Balkans and worsened conditions for migrants."/>
    <s v="The New York Times"/>
    <s v="https://www.nytimes.com/2015/10/17/world/europe/hungary-croatia-refugees-migrants.html?_r=1"/>
    <n v="8"/>
  </r>
  <r>
    <n v="2"/>
    <s v="Hungary"/>
    <x v="3"/>
    <s v="Policy allowing police to push back migrants"/>
    <s v="Legislative Framework"/>
    <n v="-2"/>
    <n v="-2"/>
    <n v="1"/>
    <n v="-1"/>
    <n v="-1"/>
    <n v="-1"/>
    <n v="1"/>
    <s v="High"/>
    <s v="The pushback policy strengthened border enforcement but generated substantial criticism regarding violations of asylum rights and EU norms."/>
    <s v="International Organization for Migration"/>
    <s v="https://hungary.iom.int/european-migration-crisis-and-hungary"/>
    <n v="5"/>
  </r>
  <r>
    <n v="2"/>
    <s v="Hungary"/>
    <x v="4"/>
    <s v="Hungary deploys 10,000 soldiers and police to push migrants back over border into Serbia"/>
    <s v="Border Control"/>
    <n v="-2"/>
    <n v="-2"/>
    <n v="1"/>
    <n v="-1"/>
    <n v="-1"/>
    <n v="-1"/>
    <n v="1"/>
    <s v="High"/>
    <s v="The deployment of soldiers and police intensified border securitization and further restricted migrant access to asylum procedures."/>
    <s v="BBC"/>
    <s v="https://www.bbc.com/news/world-europe-36786438"/>
    <n v="6"/>
  </r>
  <r>
    <n v="2"/>
    <s v="Hungary"/>
    <x v="5"/>
    <s v="Hungarian referendum rejects EU migrant quotas with 98.36% &quot;No&quot; votes"/>
    <s v="Legislative Framework"/>
    <n v="-1.32"/>
    <n v="-2"/>
    <n v="0"/>
    <n v="-1"/>
    <n v="0"/>
    <n v="-1"/>
    <n v="0.66"/>
    <s v="Medium"/>
    <s v="The referendum reinforced Hungary’s opposition to EU relocation quotas and deepened political tensions with EU institutions."/>
    <s v="BBC"/>
    <s v="https://www.bbc.com/news/world-europe-37528325"/>
    <n v="6"/>
  </r>
  <r>
    <n v="2"/>
    <s v="Hungary"/>
    <x v="6"/>
    <s v="Hungarian Parliament adopted comprehensive amendments to five different Hungarian asylum laws"/>
    <s v="Legislative Framework"/>
    <n v="-2"/>
    <n v="-2"/>
    <n v="1"/>
    <n v="-1"/>
    <n v="-1"/>
    <n v="-1"/>
    <n v="1"/>
    <s v="High"/>
    <s v="The asylum law amendments institutionalized restrictive asylum procedures and significantly limited migrant protections."/>
    <s v="Amnesty International"/>
    <s v="https://www.amnesty.org/fr/wp-content/uploads/2021/05/EUR2758552017ENGLISH.pdf"/>
    <n v="4"/>
  </r>
  <r>
    <n v="2"/>
    <s v="Hungary"/>
    <x v="7"/>
    <s v="Hungary passes anti-immigrant 'Stop Soros' laws"/>
    <s v="Legislative Framework"/>
    <n v="-0.66"/>
    <n v="-1"/>
    <n v="1"/>
    <n v="0"/>
    <n v="-1"/>
    <n v="-1"/>
    <n v="0.66"/>
    <s v="Medium"/>
    <s v="The “Stop Soros” legislation increased restrictions on migration-related civil society activities and drew criticism from EU institutions."/>
    <s v="The Guardian"/>
    <s v="https://www.theguardian.com/world/2018/jun/20/hungary-passes-anti-immigrant-stop-soros-laws"/>
    <n v="6"/>
  </r>
  <r>
    <n v="2"/>
    <s v="Hungary"/>
    <x v="8"/>
    <s v="State of danger declared due to Covid (keeps extending from 2015)"/>
    <s v="Crisis Response"/>
    <n v="-1.32"/>
    <n v="-2"/>
    <n v="0"/>
    <n v="-1"/>
    <n v="-1"/>
    <n v="0"/>
    <n v="0.66"/>
    <s v="Medium"/>
    <s v="COVID-19 emergency measures further restricted asylum access and movement while reinforcing existing border controls."/>
    <s v="Hungarian Helsinki Committee"/>
    <s v="https://helsinki.hu/en/wp-content/uploads/sites/2/2024/04/HHC_Hungary_states_of_exception_20240402.pdf"/>
    <n v="4"/>
  </r>
  <r>
    <n v="2"/>
    <s v="Hungary"/>
    <x v="9"/>
    <s v="Hungary: Abolishment of Transit Zone Following CJEU Ruling"/>
    <s v="Legislative Framework"/>
    <n v="-0.66"/>
    <n v="-1"/>
    <n v="-1"/>
    <n v="0"/>
    <n v="0"/>
    <n v="0"/>
    <n v="0.66"/>
    <s v="Medium"/>
    <s v="The abolition of transit zones slightly improved compliance with EU legal rulings but did not fundamentally liberalize migration policy."/>
    <s v="European Council on Refugees and Exiles (ECRE)"/>
    <s v="https://ecre.org/hungary-abolishment-of-transit-zone-following-cjeu-ruling/"/>
    <n v="5"/>
  </r>
  <r>
    <n v="2"/>
    <s v="Hungary"/>
    <x v="10"/>
    <s v="Frontex Operations Suspended"/>
    <s v="International Cooperation"/>
    <n v="-3"/>
    <n v="-3"/>
    <n v="-1"/>
    <n v="0"/>
    <n v="-1"/>
    <n v="-1"/>
    <n v="1"/>
    <s v="High"/>
    <s v="The suspension of Frontex operations reflected serious EU concerns regarding Hungary’s migration and asylum practices."/>
    <s v="European Union Agency for Fundamental Rights (FRA)"/>
    <s v="https://fra.europa.eu/sites/default/files/fra_uploads/fra-2021-migration-bulletin-2_en.pdf"/>
    <n v="7"/>
  </r>
  <r>
    <n v="2"/>
    <s v="Hungary"/>
    <x v="11"/>
    <s v="Hungary’s immigration reforms"/>
    <s v="Legislative Framework"/>
    <n v="-1.32"/>
    <n v="-2"/>
    <n v="0"/>
    <n v="0"/>
    <n v="-1"/>
    <n v="-1"/>
    <n v="0.66"/>
    <s v="Medium"/>
    <s v="The immigration reforms tightened labour migration and residence conditions, reducing access for foreign workers and migrants."/>
    <s v="Travelobiz"/>
    <s v="https://travelobiz.com/hungary-immigration-updates-2025-guest-worker-limits-new-exams/"/>
    <n v="5"/>
  </r>
  <r>
    <n v="2"/>
    <s v="Hungary"/>
    <x v="12"/>
    <s v="Hungary rejects EU's migration pact"/>
    <s v="International Cooperation"/>
    <n v="-1.32"/>
    <n v="-2"/>
    <n v="0"/>
    <n v="-1"/>
    <n v="0"/>
    <n v="-1"/>
    <n v="0.66"/>
    <s v="Medium"/>
    <s v="Rejecting the EU Migration Pact reinforced Hungary’s sovereigntist migration stance and increased tensions with EU migration policy objectives."/>
    <s v="About Hungary"/>
    <s v="https://abouthungary.hu/news-in-brief/state-secretary-hungary-rejects-eu-s-migration-pact-because-it-goes-against-national-interests"/>
    <n v="6"/>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
  <r>
    <n v="11"/>
    <s v="Slovenia"/>
    <x v="0"/>
    <s v="Slovenia sets daily intake limit"/>
    <x v="0"/>
    <n v="-2"/>
    <n v="-2"/>
    <n v="0"/>
    <n v="-1"/>
    <n v="-1"/>
    <n v="0"/>
    <n v="1"/>
    <s v="High"/>
    <s v="Directly affected the Balkan route flow during the peak migration crisis and impacted thousands of migrants and neighboring states."/>
    <s v="DW"/>
    <s v="https://www.dw.com/en/slovenia-blocks-flow-of-migrants-entering-its-borders/a-18790663"/>
    <n v="4"/>
  </r>
  <r>
    <n v="11"/>
    <s v="Slovenia"/>
    <x v="1"/>
    <s v="Parliament authorizes military assistance"/>
    <x v="0"/>
    <n v="0"/>
    <n v="0"/>
    <n v="1"/>
    <n v="0"/>
    <n v="-1"/>
    <n v="0"/>
    <n v="0.66"/>
    <s v="Medium"/>
    <s v="Strengthened state border enforcement capacity, though primarily operational rather than transformational."/>
    <s v="The Guardian"/>
    <s v="https://www.theguardian.com/world/2015/oct/21/slovenia-calls-in-army-refugee-crisis-borders-europe"/>
    <n v="6"/>
  </r>
  <r>
    <n v="11"/>
    <s v="Slovenia"/>
    <x v="2"/>
    <s v="Slovenia Requests EU Assistance"/>
    <x v="1"/>
    <n v="1.98"/>
    <n v="3"/>
    <n v="1"/>
    <n v="1"/>
    <n v="0"/>
    <n v="1"/>
    <n v="0.66"/>
    <s v="Medium"/>
    <s v="Important diplomatic and EU coordination measure, but with less direct effect on migration flows."/>
    <s v="DW"/>
    <s v="https://www.dw.com/en/slovenia-asks-for-eu-help-to-tackle-refugee-crisis/a-18798930"/>
    <n v="6"/>
  </r>
  <r>
    <n v="11"/>
    <s v="Slovenia"/>
    <x v="3"/>
    <s v="Slovenia erects fence on Croatian border"/>
    <x v="0"/>
    <n v="-3"/>
    <n v="-3"/>
    <n v="0"/>
    <n v="-1"/>
    <n v="-1"/>
    <n v="-1"/>
    <n v="1"/>
    <s v="High"/>
    <s v="Major symbolic and operational border policy with strong regional consequences and effects on migrant routes."/>
    <s v="Politico Europe"/>
    <s v="https://www.politico.eu/article/slovenia-to-build-croatia-border-fence-miro-cerar-migrants-control/"/>
    <n v="5"/>
  </r>
  <r>
    <n v="11"/>
    <s v="Slovenia"/>
    <x v="4"/>
    <s v="Army enabled to control the migrant movements"/>
    <x v="0"/>
    <n v="0"/>
    <n v="0"/>
    <n v="1"/>
    <n v="0"/>
    <n v="-1"/>
    <n v="0"/>
    <n v="0.66"/>
    <s v="Medium"/>
    <s v="Expanded migration enforcement capabilities but did not fundamentally change the migration system."/>
    <s v="DW"/>
    <s v="https://www.dw.com/en/slovenia-deploys-army-to-schengen-zone-border-to-tackle-refugee-influx/a-19066844"/>
    <n v="6"/>
  </r>
  <r>
    <n v="11"/>
    <s v="Slovenia"/>
    <x v="5"/>
    <s v="Slovenia sets new daily intake limit"/>
    <x v="0"/>
    <n v="-2"/>
    <n v="-2"/>
    <n v="0"/>
    <n v="-1"/>
    <n v="-1"/>
    <n v="0"/>
    <n v="1"/>
    <s v="High"/>
    <s v="Reinforced the closure dynamics of the Balkan route and strongly affected regional transit migration."/>
    <s v="The Guardian"/>
    <s v="https://www.theguardian.com/world/2016/feb/26/croatia-slovenia-limits-refugee-numbers-europe-greece"/>
    <n v="4"/>
  </r>
  <r>
    <n v="11"/>
    <s v="Slovenia"/>
    <x v="6"/>
    <s v="Slovenia toughens asylum measures"/>
    <x v="2"/>
    <n v="0"/>
    <n v="0"/>
    <n v="1"/>
    <n v="0"/>
    <n v="-1"/>
    <n v="0"/>
    <n v="0.66"/>
    <s v="Medium"/>
    <s v="Important tightening of asylum policy with moderate long-term legal implications."/>
    <s v="DW"/>
    <s v="https://www.dw.com/en/slovenia-approves-new-legislation-in-effort-to-stem-refugee-flow/a-19095793"/>
    <n v="5"/>
  </r>
  <r>
    <n v="11"/>
    <s v="Slovenia"/>
    <x v="7"/>
    <s v="Slovenia tightens its border controls"/>
    <x v="0"/>
    <n v="-1"/>
    <n v="-1"/>
    <n v="1"/>
    <n v="-1"/>
    <n v="-1"/>
    <n v="0"/>
    <n v="1"/>
    <s v="High"/>
    <s v="Contributed significantly to regional border restrictions and Western Balkan route closure measures."/>
    <s v="Time"/>
    <s v="https://time.com/4252013/slovenia-serbia-balkans-route-refugees-migrants-eu/"/>
    <n v="4"/>
  </r>
  <r>
    <n v="11"/>
    <s v="Slovenia"/>
    <x v="8"/>
    <s v="The Law on International Protection"/>
    <x v="2"/>
    <n v="2"/>
    <n v="2"/>
    <n v="1"/>
    <n v="0"/>
    <n v="0"/>
    <n v="1"/>
    <n v="1"/>
    <s v="High"/>
    <s v="Established a long-term legal framework for asylum and international protection governance."/>
    <s v="European Commission"/>
    <s v="https://migrant-integration.ec.europa.eu/index.php/country-governance/governance-migrant-integration-slovenia_en"/>
    <n v="3"/>
  </r>
  <r>
    <n v="11"/>
    <s v="Slovenia"/>
    <x v="9"/>
    <s v="The Office for the Support and Integration of Migrants is established"/>
    <x v="2"/>
    <n v="1.98"/>
    <n v="3"/>
    <n v="1"/>
    <n v="0"/>
    <n v="1"/>
    <n v="1"/>
    <n v="0.66"/>
    <s v="Medium"/>
    <s v="Created an important institutional structure for migrant integration and support."/>
    <s v="European Commission"/>
    <s v="https://migrant-integration.ec.europa.eu/country-governance/governance-migrant-integration-slovenia_en"/>
    <n v="3"/>
  </r>
  <r>
    <n v="11"/>
    <s v="Slovenia"/>
    <x v="10"/>
    <s v="Amendments to Aliens Act"/>
    <x v="2"/>
    <n v="-2"/>
    <n v="-2"/>
    <n v="1"/>
    <n v="-1"/>
    <n v="-1"/>
    <n v="-1"/>
    <n v="1"/>
    <s v="High"/>
    <s v="Major legislative change enabling exceptional border closure mechanisms and asylum restrictions."/>
    <s v="Amnesty International"/>
    <s v="https://www.amnesty.org/en/latest/news/2017/01/slovenia-amendments-to-aliens-act-denies-protection-to-refugees-2/"/>
    <n v="4"/>
  </r>
  <r>
    <n v="11"/>
    <s v="Slovenia"/>
    <x v="11"/>
    <s v="Framework Agreement for Refugee Resettlement Programme (IOM, UN and Slovenia)"/>
    <x v="1"/>
    <n v="2.64"/>
    <n v="4"/>
    <n v="1"/>
    <n v="1"/>
    <n v="1"/>
    <n v="1"/>
    <n v="0.66"/>
    <s v="Medium"/>
    <s v="Important humanitarian and international cooperation initiative, though limited in numerical scale."/>
    <s v="International Organization for Migration"/>
    <s v="https://slovenia.iom.int/news/slovenias-first-refugee-resettlement-programme-completed-after-arrival-last-syrian-family-0"/>
    <n v="5"/>
  </r>
  <r>
    <n v="11"/>
    <s v="Slovenia"/>
    <x v="12"/>
    <s v="First Refugee Resettlement Programme Completed"/>
    <x v="1"/>
    <n v="1.32"/>
    <n v="4"/>
    <n v="1"/>
    <n v="1"/>
    <n v="1"/>
    <n v="1"/>
    <n v="0.33"/>
    <s v="Low"/>
    <s v="Primarily a symbolic completion milestone rather than a major new policy shift."/>
    <s v="International Organization for Migration "/>
    <s v="https://slovenia.iom.int/news/slovenias-first-refugee-resettlement-programme-completed-after-arrival-last-syrian-family-0"/>
    <n v="5"/>
  </r>
  <r>
    <n v="11"/>
    <s v="Slovenia"/>
    <x v="13"/>
    <s v="Adoption of the Strategy on Migration"/>
    <x v="2"/>
    <n v="1.32"/>
    <n v="2"/>
    <n v="1"/>
    <n v="0"/>
    <n v="0"/>
    <n v="1"/>
    <n v="0.66"/>
    <s v="Medium"/>
    <s v="Established a long-term strategic framework for migration governance and planning."/>
    <s v="Government of Slovenia"/>
    <s v="https://www.gov.si/en/news/2019-07-18-government-adopts-a-strategy-with-regard-to-migrations"/>
    <n v="3"/>
  </r>
  <r>
    <n v="11"/>
    <s v="Slovenia"/>
    <x v="14"/>
    <s v="Slovenian announces extension of 40km border fence on Slovenia–Croatia border"/>
    <x v="0"/>
    <n v="-1.98"/>
    <n v="-3"/>
    <n v="0"/>
    <n v="-1"/>
    <n v="-1"/>
    <n v="-1"/>
    <n v="0.66"/>
    <s v="Medium"/>
    <s v="Expanded existing border restrictions without fundamentally changing policy direction."/>
    <s v="Al Jazeera"/>
    <s v="https://www.aljazeera.com/news/2019/8/22/slovenia-to-extend-border-fence-to-prevent-refugee-crossings"/>
    <n v="6"/>
  </r>
  <r>
    <n v="11"/>
    <s v="Slovenia"/>
    <x v="15"/>
    <s v="Suspension of Slovenia’s asylum procedure due to COVID‑19 lockdown (until May)"/>
    <x v="3"/>
    <n v="-1"/>
    <n v="-1"/>
    <n v="0"/>
    <n v="0"/>
    <n v="-1"/>
    <n v="0"/>
    <n v="1"/>
    <s v="High"/>
    <s v="Directly suspended asylum access nationally during the COVID-19 emergency period."/>
    <s v="European Council on Refugees and Exiles (ECRE)"/>
    <s v="https://ecre.org/aida-2020-update-slovenia"/>
    <n v="5"/>
  </r>
  <r>
    <n v="11"/>
    <s v="Slovenia"/>
    <x v="16"/>
    <s v="Parliament approves amendments to the International Protection Act and Foreigners Act (introducing a “complex crisis” clause)"/>
    <x v="2"/>
    <n v="-2"/>
    <n v="-2"/>
    <n v="1"/>
    <n v="-1"/>
    <n v="-1"/>
    <n v="-1"/>
    <n v="1"/>
    <s v="High"/>
    <s v="Introduced major structural legal changes with potentially broad future consequences for asylum access."/>
    <s v="European Council on Refugees and Exiles (ECRE)"/>
    <s v="https://ecre.org/slovenia-national-assembly-approves-legislation-eroding-the-rights-of-asylum-seekers"/>
    <n v="5"/>
  </r>
  <r>
    <n v="11"/>
    <s v="Slovenia"/>
    <x v="17"/>
    <s v="Amendments to IPA and Foreigners Act enter into force (allowing border closures under “complex crisis” conditions)"/>
    <x v="2"/>
    <n v="-1.32"/>
    <n v="-2"/>
    <n v="1"/>
    <n v="-1"/>
    <n v="-1"/>
    <n v="-1"/>
    <n v="0.66"/>
    <s v="Medium"/>
    <s v="Marked implementation of previously adopted restrictive migration legislation."/>
    <s v="European Council on Refugees and Exiles (ECRE)"/>
    <s v="https://ecre.org/aida-2021-update-slovenia"/>
    <n v="5"/>
  </r>
  <r>
    <n v="11"/>
    <s v="Slovenia"/>
    <x v="18"/>
    <s v="Joint Cooperation Platform conference "/>
    <x v="1"/>
    <n v="0.99"/>
    <n v="3"/>
    <n v="1"/>
    <n v="1"/>
    <n v="0"/>
    <n v="1"/>
    <n v="0.33"/>
    <s v="Low"/>
    <s v="Mainly a diplomatic coordination event with limited immediate operational impact."/>
    <s v="Government of Slovenia"/>
    <s v="https://www.gov.si/en/news/2022-06-22-return-is-one-of-key-pillars-of-an-effective-migration-policy/"/>
    <n v="7"/>
  </r>
  <r>
    <n v="11"/>
    <s v="Slovenia"/>
    <x v="19"/>
    <s v="Government signals gradual removal of Slovenia–Croatia border fence (razor wire)"/>
    <x v="0"/>
    <n v="4"/>
    <n v="4"/>
    <n v="1"/>
    <n v="1"/>
    <n v="1"/>
    <n v="1"/>
    <n v="1"/>
    <s v="High"/>
    <s v="Represented a major symbolic and practical reversal of restrictive border policies."/>
    <s v="Associated Press"/>
    <s v="https://apnews.com/article/migration-austria-western-europe-croatia-791cb1b95334fc1055f98e2b31057951"/>
    <n v="6"/>
  </r>
  <r>
    <n v="11"/>
    <s v="Slovenia"/>
    <x v="20"/>
    <s v="Slovenia agrees to resettle 50 Syrian and Afghan refugees from Türkiye (UNHCR resettlement program)"/>
    <x v="1"/>
    <n v="2.64"/>
    <n v="4"/>
    <n v="1"/>
    <n v="1"/>
    <n v="1"/>
    <n v="1"/>
    <n v="0.66"/>
    <s v="Medium"/>
    <s v="Positive humanitarian measure with moderate practical impact due to limited refugee numbers."/>
    <s v="Government of Slovenia"/>
    <s v="https://www.gov.si/en/news/2022-12-01-26th-regular-government-session"/>
    <n v="3"/>
  </r>
  <r>
    <n v="11"/>
    <s v="Slovenia"/>
    <x v="21"/>
    <s v="Initiation of a New Migration Strategy"/>
    <x v="2"/>
    <n v="1.98"/>
    <n v="3"/>
    <n v="1"/>
    <n v="0"/>
    <n v="1"/>
    <n v="1"/>
    <n v="0.66"/>
    <s v="Medium"/>
    <s v="Important strategic initiative shaping future migration governance priorities."/>
    <s v="Government of Slovenia"/>
    <s v="https://www.gov.si/en/news/2023-01-18-minister-sanja-ajanovic-hovnik-the-aim-is-to-prepare-an-effective-migration-strategy/"/>
    <n v="5"/>
  </r>
  <r>
    <n v="11"/>
    <s v="Slovenia"/>
    <x v="22"/>
    <s v="Parliament approves amendments to Employment of Foreigners Act (speed up recruitment; asylum seekers access labour market after 3 months)"/>
    <x v="2"/>
    <n v="3"/>
    <n v="3"/>
    <n v="1"/>
    <n v="0"/>
    <n v="1"/>
    <n v="1"/>
    <n v="1"/>
    <s v="High"/>
    <s v="Significantly improved migrant labour market access and foreign worker recruitment processes."/>
    <s v="Government of Slovenia"/>
    <s v="https://www.gov.si/en/news/2023-03-28-changing-the-law-to-speed-up-the-recruitment-of-foreigners"/>
    <n v="4"/>
  </r>
  <r>
    <n v="11"/>
    <s v="Slovenia"/>
    <x v="23"/>
    <s v="Temporary border controls reintroduced with Croatia and Hungary (21–30 Oct 2023, citing security threats)"/>
    <x v="0"/>
    <n v="-3"/>
    <n v="-3"/>
    <n v="0"/>
    <n v="-1"/>
    <n v="-1"/>
    <n v="-1"/>
    <n v="1"/>
    <s v="High"/>
    <s v="Strong implications for Schengen mobility, regional migration governance, and neighboring countries."/>
    <s v="Reuters"/>
    <s v="https://www.reuters.com/world/europe/slovenia-deploys-police-borders-with-croatia-hungary-2023-10-21"/>
    <n v="5"/>
  </r>
  <r>
    <n v="11"/>
    <s v="Slovenia"/>
    <x v="24"/>
    <s v="First group of 23 Syrian refugees arrives under Slovenia’s 50-person Türkiye resettlement scheme"/>
    <x v="1"/>
    <n v="1.32"/>
    <n v="4"/>
    <n v="1"/>
    <n v="1"/>
    <n v="1"/>
    <n v="1"/>
    <n v="0.33"/>
    <s v="Low"/>
    <s v="Limited-scale implementation event with mainly symbolic significance."/>
    <s v="Government of Slovenia"/>
    <s v="https://www.gov.si/en/news/2023-12-15-slovenia-accepts-refugees-under-the-resettlement-project"/>
    <n v="6"/>
  </r>
  <r>
    <n v="11"/>
    <s v="Slovenia"/>
    <x v="25"/>
    <s v="Interior Minister announces extension of border controls with Croatia and Hungary by 6 months (to Dec 2024)"/>
    <x v="0"/>
    <n v="-1.98"/>
    <n v="-3"/>
    <n v="0"/>
    <n v="-1"/>
    <n v="-1"/>
    <n v="-1"/>
    <n v="0.66"/>
    <s v="Medium"/>
    <s v="Extended existing restrictive border measures without introducing fundamentally new controls."/>
    <s v="Government of Slovenia"/>
    <s v="https://www.gov.si/en/news/2024-05-22-slovenia-to-extend-control-at-croatian-and-hungarian-borders-by-six-months"/>
    <n v="5"/>
  </r>
  <r>
    <n v="11"/>
    <s v="Slovenia"/>
    <x v="26"/>
    <s v="Ordinance issued extending temporary border checks with Croatia and Hungary until 21 Dec 2024"/>
    <x v="0"/>
    <n v="-0.99"/>
    <n v="-3"/>
    <n v="0"/>
    <n v="-1"/>
    <n v="-1"/>
    <n v="-1"/>
    <n v="0.33"/>
    <s v="Low"/>
    <s v="Administrative continuation of already existing border control measures."/>
    <s v="Government of Slovenia"/>
    <s v="https://www.gov.si/en/news/2024-06-19-border-controls-with-croatia-and-hungary-extended-until-21-december-2024"/>
    <n v="5"/>
  </r>
  <r>
    <n v="11"/>
    <s v="Slovenia"/>
    <x v="27"/>
    <s v="Implementation of Stricter Language Requirements"/>
    <x v="2"/>
    <n v="-0.66"/>
    <n v="-1"/>
    <n v="0"/>
    <n v="0"/>
    <n v="-1"/>
    <n v="0"/>
    <n v="0.66"/>
    <s v="Medium"/>
    <s v="Long-term integration and migration implications through stricter integration requirements."/>
    <s v="Fragomen"/>
    <s v="https://www.fragomen.com/insights/slovenia-relaxed-immigration-rules-implemented-but-stricter-language-requirements-forthcoming.html"/>
    <n v="6"/>
  </r>
  <r>
    <n v="11"/>
    <s v="Slovenia"/>
    <x v="28"/>
    <s v="Government prolongs temporary border controls with Croatia and Hungary until 21 June 2025"/>
    <x v="0"/>
    <n v="-1.98"/>
    <n v="-3"/>
    <n v="0"/>
    <n v="-1"/>
    <n v="-1"/>
    <n v="-1"/>
    <n v="0.66"/>
    <s v="Medium"/>
    <s v="Continuation of temporary border restrictions with moderate regional implications."/>
    <s v="Government of Slovenia"/>
    <s v="https://www.gov.si/en/news/2024-12-20-temporary-control-on-internal-borders-with-croatia-and-hungary-prolonged-until-21-june-2025"/>
    <n v="5"/>
  </r>
  <r>
    <n v="11"/>
    <s v="Slovenia"/>
    <x v="29"/>
    <s v="Establishment of Temporary Facilities for Migrants at the Croatia Border"/>
    <x v="3"/>
    <n v="-0.66"/>
    <n v="-1"/>
    <n v="0"/>
    <n v="-1"/>
    <n v="0"/>
    <n v="0"/>
    <n v="0.66"/>
    <s v="Medium"/>
    <s v="Operational crisis-response measure improving migrant accommodation and border management capacity."/>
    <s v="Associated Press"/>
    <s v="https://apnews.com/article/1a1a931125f6f9207c9c3e49e11ef1f3"/>
    <n v="7"/>
  </r>
  <r>
    <n v="11"/>
    <s v="Slovenia"/>
    <x v="30"/>
    <s v="Slovenia, Italy and Croatia sign memorandum on joint external-border patrols (to replace internal checks)"/>
    <x v="1"/>
    <n v="2"/>
    <n v="2"/>
    <n v="1"/>
    <n v="1"/>
    <n v="-1"/>
    <n v="1"/>
    <n v="1"/>
    <s v="High"/>
    <s v="Strong regional cooperation initiative reshaping joint migration and border management practices."/>
    <s v="The Slovenia Times"/>
    <s v="https://sloveniatimes.com/42279/slovenia-croatia-and-italy-agree-joint-border-patrols"/>
    <n v="5"/>
  </r>
  <r>
    <n v="10"/>
    <s v="Croatia"/>
    <x v="31"/>
    <s v="Act on International and Temporary Protection (OG 70/15) enters into force, transposing EU asylum acquis"/>
    <x v="2"/>
    <n v="3"/>
    <n v="3"/>
    <n v="1"/>
    <n v="0"/>
    <n v="1"/>
    <n v="1"/>
    <n v="1"/>
    <s v="High"/>
    <s v="Established Croatia’s core asylum and international protection framework through alignment with the EU asylum acquis, creating long-term legal and institutional consequences."/>
    <s v="European Migration Network (Croatia)"/>
    <s v="https://emn.gov.hr/UserDocsImages/EMN_kratka_izvjesca/2015_emn_country_factsheet_hr_final.pdf"/>
    <n v="5"/>
  </r>
  <r>
    <n v="10"/>
    <s v="Croatia"/>
    <x v="32"/>
    <s v="Croatia agrees to take in 550 refugees (400 via EU relocation, 150 via resettlement)"/>
    <x v="1"/>
    <n v="2.64"/>
    <n v="4"/>
    <n v="1"/>
    <n v="1"/>
    <n v="1"/>
    <n v="1"/>
    <n v="0.66"/>
    <s v="Medium"/>
    <s v="Important humanitarian and EU solidarity measure, though relatively limited in numerical scale."/>
    <s v="Balkan Insight"/>
    <s v="https://balkaninsight.com/2015/07/16/croatia-to-receive-and-accommodate-550-refugees"/>
    <n v="5"/>
  </r>
  <r>
    <n v="10"/>
    <s v="Croatia"/>
    <x v="33"/>
    <s v="Opatovac transit reception centre (capacity ~5,000) opened near Serbia border"/>
    <x v="3"/>
    <n v="1"/>
    <n v="1"/>
    <n v="1"/>
    <n v="0"/>
    <n v="0"/>
    <n v="0"/>
    <n v="1"/>
    <s v="High"/>
    <s v="Major operational reception facility during the peak of the migration crisis with significant logistical importance."/>
    <s v="European Migration Network (Croatia)"/>
    <s v="https://emn.gov.hr/UserDocsImages/EMN_kratka_izvjesca/2015_emn_country_factsheet_hr_final.pdf"/>
    <n v="4"/>
  </r>
  <r>
    <n v="10"/>
    <s v="Croatia"/>
    <x v="34"/>
    <s v="Croatia closed seven of its eight border crossings with Serbia after an influx of approximately 10,000 refugees in two days"/>
    <x v="0"/>
    <n v="-3"/>
    <n v="-3"/>
    <n v="0"/>
    <n v="-1"/>
    <n v="-1"/>
    <n v="-1"/>
    <n v="1"/>
    <s v="High"/>
    <s v="Strongly disrupted regional mobility and migration flows along the Balkan route while affecting bilateral relations with Serbia."/>
    <s v="Time"/>
    <s v="https://time.com/4039742/croatia-border-crossings-closed-refugees-migrant-crisis"/>
    <n v="9"/>
  </r>
  <r>
    <n v="10"/>
    <s v="Croatia"/>
    <x v="35"/>
    <s v="Slavonski Brod winter reception centre opened (heated, capacity ~15,000) and Opatovac closed"/>
    <x v="3"/>
    <n v="2"/>
    <n v="2"/>
    <n v="1"/>
    <n v="0"/>
    <n v="1"/>
    <n v="0"/>
    <n v="1"/>
    <s v="High"/>
    <s v="Large-scale reception infrastructure with substantial operational and humanitarian importance during the migration crisis."/>
    <s v="European Migration Network (Croatia)"/>
    <s v="https://emn.gov.hr/UserDocsImages/EMN_kratka_izvjesca/2015_emn_country_factsheet_hr_final.pdf"/>
    <n v="3"/>
  </r>
  <r>
    <n v="10"/>
    <s v="Croatia"/>
    <x v="35"/>
    <s v="Transit reception centres built in Tovarnik (Serbia border) and Trilj"/>
    <x v="3"/>
    <n v="0.66"/>
    <n v="1"/>
    <n v="1"/>
    <n v="0"/>
    <n v="0"/>
    <n v="0"/>
    <n v="0.66"/>
    <s v="Medium"/>
    <s v="Operational support infrastructure that improved migrant transit management but with more localized effects."/>
    <s v="European Migration Network (Croatia)"/>
    <s v="https://emn.gov.hr/UserDocsImages/EMN_kratka_izvjesca/2015_emn_country_factsheet_hr_final.pdf"/>
    <n v="3"/>
  </r>
  <r>
    <n v="10"/>
    <s v="Croatia"/>
    <x v="7"/>
    <s v="Transit ban on refugees: Croatia follows Slovenia and denies transit to most refugees, only allowing those with visas or asylum claims"/>
    <x v="0"/>
    <n v="-1"/>
    <n v="-1"/>
    <n v="1"/>
    <n v="-1"/>
    <n v="-1"/>
    <n v="0"/>
    <n v="1"/>
    <s v="High"/>
    <s v="Played a major role in the effective closure of the Western Balkan migration route and significantly affected regional transit dynamics."/>
    <s v="The Guardian"/>
    <s v="https://www.theguardian.com/world/2016/mar/09/slovenia-and-croatia-ban-the-transit-of-refugees"/>
    <n v="7"/>
  </r>
  <r>
    <n v="10"/>
    <s v="Croatia"/>
    <x v="36"/>
    <s v="Relocated refugees arrive: 4 Syrians (from Italy, 4 Jul), 10 Syrians (from Greece, 22 Aug), 5 Eritreans (from Italy, 3 Oct)"/>
    <x v="1"/>
    <n v="1.32"/>
    <n v="4"/>
    <n v="1"/>
    <n v="1"/>
    <n v="1"/>
    <n v="1"/>
    <n v="0.33"/>
    <s v="Low"/>
    <s v="Limited-scale relocation measure with mainly symbolic and humanitarian significance."/>
    <s v="European Migration Network (Croatia)"/>
    <s v="https://emn.gov.hr/UserDocsImages/EMN_kratka_izvjesca/2016_emn_country_factsheet_hr_final.pdf"/>
    <n v="3"/>
  </r>
  <r>
    <n v="10"/>
    <s v="Croatia"/>
    <x v="37"/>
    <s v="Pushback scandal exposed: Guardian reports hidden-camera footage of Croatian police returning groups of asylum seekers (54 incidents, 368 people) into Bosnia"/>
    <x v="0"/>
    <n v="-4"/>
    <n v="-4"/>
    <n v="-1"/>
    <n v="-1"/>
    <n v="-1"/>
    <n v="-1"/>
    <n v="1"/>
    <s v="High"/>
    <s v="Generated major international criticism and significant implications for Croatia’s human-rights reputation and EU border governance debates."/>
    <s v="The Guardian"/>
    <s v="https://www.theguardian.com/world/2018/dec/17/croatia-violating-eu-law-by-sending-back-asylum-seekers-to-bosnia"/>
    <n v="4"/>
  </r>
  <r>
    <n v="10"/>
    <s v="Croatia"/>
    <x v="38"/>
    <s v="Planned asylum centre canceled: Government abandons building a new centre in Mala Gorica (Petrinja area) after local veterans threaten protests"/>
    <x v="3"/>
    <n v="-1.98"/>
    <n v="-3"/>
    <n v="-1"/>
    <n v="0"/>
    <n v="-1"/>
    <n v="-1"/>
    <n v="0.66"/>
    <s v="Medium"/>
    <s v="Important domestic political decision affecting asylum infrastructure capacity, though geographically limited."/>
    <s v="Balkan Insight"/>
    <s v="https://balkaninsight.com/2019/05/10/croatia-war-veterans-threaten-block-roads-over-asylum-centre"/>
    <n v="3"/>
  </r>
  <r>
    <n v="10"/>
    <s v="Croatia"/>
    <x v="39"/>
    <s v="Asylum center lockdown: Reception centres in Zagreb and Kutina are locked down; asylum seekers cannot leave, NGOs barred"/>
    <x v="3"/>
    <n v="-0.66"/>
    <n v="-1"/>
    <n v="0"/>
    <n v="0"/>
    <n v="-1"/>
    <n v="0"/>
    <n v="0.66"/>
    <s v="Medium"/>
    <s v="Directly restricted asylum seekers’ mobility and access to services during the COVID-19 emergency period."/>
    <s v="European Council on Refugees and Exiles (ECRE)"/>
    <s v="https://www.ecre.org/wp-content/uploads/2020/05/COVID-INFO-28-May.pdf"/>
    <n v="4"/>
  </r>
  <r>
    <n v="10"/>
    <s v="Croatia"/>
    <x v="40"/>
    <s v="COVID border closure: National Civil Protection temporarily prohibits crossing state borders (except for limited cases)"/>
    <x v="3"/>
    <n v="-1"/>
    <n v="-1"/>
    <n v="0"/>
    <n v="0"/>
    <n v="-1"/>
    <n v="0"/>
    <n v="1"/>
    <s v="High"/>
    <s v="Nationwide border restrictions with broad implications for migration governance and mobility during the pandemic."/>
    <s v="European Council on Refugees and Exiles (ECRE)"/>
    <s v="https://www.ecre.org/wp-content/uploads/2020/05/COVID-INFO-28-May.pdf"/>
    <n v="5"/>
  </r>
  <r>
    <n v="10"/>
    <s v="Croatia"/>
    <x v="41"/>
    <s v="Renovation and expansion of Kutina Reception Centre"/>
    <x v="3"/>
    <n v="1.98"/>
    <n v="3"/>
    <n v="1"/>
    <n v="0"/>
    <n v="1"/>
    <n v="1"/>
    <n v="0.66"/>
    <s v="Medium"/>
    <s v="Strengthened reception capacity and integration infrastructure, though without fundamentally transforming migration governance."/>
    <s v="European Council on Refugees and Exiles (ECRE)"/>
    <s v="https://ecre.org/2022-update-aida-country-report-croatia/"/>
    <n v="4"/>
  </r>
  <r>
    <n v="10"/>
    <s v="Croatia"/>
    <x v="42"/>
    <s v="ECtHR ruling in M.H. and Others v. Croatia on unlawful pushbacks"/>
    <x v="2"/>
    <n v="-1"/>
    <n v="-1"/>
    <n v="-1"/>
    <n v="0"/>
    <n v="1"/>
    <n v="-1"/>
    <n v="1"/>
    <s v="High"/>
    <s v="Landmark ECtHR judgment with major legal, reputational, and human-rights implications for Croatia and EU external border management practices."/>
    <s v="European Court of Human Rights (HUDOC)"/>
    <s v="https://hudoc.echr.coe.int/fre#{%22itemid%22:[%22001-213213%22]}"/>
    <n v="6"/>
  </r>
  <r>
    <n v="10"/>
    <s v="Croatia"/>
    <x v="43"/>
    <s v="Croatian authorities acknowledged that some police officers participated in illegal pushback incidents at the border with Bosnia and Herzegovina"/>
    <x v="2"/>
    <n v="0"/>
    <n v="0"/>
    <n v="0"/>
    <n v="0"/>
    <n v="0"/>
    <n v="0"/>
    <n v="0.66"/>
    <s v="Medium"/>
    <s v="Politically significant acknowledgment of misconduct by authorities, though with limited immediate structural reform consequences."/>
    <s v="Parliamentary Assembly of the Council of Europe (PACE)"/>
    <s v="https://pace.coe.int/en/files/30216/html"/>
    <n v="4"/>
  </r>
  <r>
    <n v="10"/>
    <s v="Croatia"/>
    <x v="44"/>
    <s v="Schengen accession: Croatia joins the Schengen area (Council Dec 2022 decision); internal border checks lifted"/>
    <x v="1"/>
    <n v="3"/>
    <n v="3"/>
    <n v="1"/>
    <n v="1"/>
    <n v="0"/>
    <n v="1"/>
    <n v="1"/>
    <s v="High"/>
    <s v="Fundamental geopolitical and migration-governance shift through Croatia’s integration into the Schengen Area."/>
    <s v="Council of the European Union"/>
    <s v="https://www.consilium.europa.eu/en/press/press-releases/2022/12/08/schengen-area-council-decides-to-lift-border-controls-with-croatia"/>
    <n v="5"/>
  </r>
  <r>
    <n v="10"/>
    <s v="Croatia"/>
    <x v="45"/>
    <s v="EU relocation: Croatia accepts 10 relocated asylum applicants (Ivory Coast families) from Italy"/>
    <x v="1"/>
    <n v="1.32"/>
    <n v="4"/>
    <n v="1"/>
    <n v="1"/>
    <n v="1"/>
    <n v="1"/>
    <n v="0.33"/>
    <s v="Low"/>
    <s v="Small-scale humanitarian relocation measure with limited practical regional impact."/>
    <s v="Asylum Information Database (AIDA)"/>
    <s v="https://asylumineurope.org/reports/country/croatia/asylum-procedure/access-procedure-and-registration/access-territory-and-push-backs"/>
    <n v="3"/>
  </r>
  <r>
    <n v="10"/>
    <s v="Croatia"/>
    <x v="46"/>
    <s v="Asylum law reforms: Parliament adopts amendments to the International and Temporary Protection Act (effective 1 Apr 2023)"/>
    <x v="2"/>
    <n v="1.98"/>
    <n v="3"/>
    <n v="1"/>
    <n v="0"/>
    <n v="1"/>
    <n v="1"/>
    <n v="0.66"/>
    <s v="Medium"/>
    <s v="Important modernization of asylum legislation with moderate long-term institutional implications."/>
    <s v="European Migration Network (Croatia)"/>
    <s v="https://emn.gov.hr/news/amendments-to-international-and-temporary-protection-act-entered-into-force/964"/>
    <n v="5"/>
  </r>
  <r>
    <n v="10"/>
    <s v="Croatia"/>
    <x v="47"/>
    <s v="ECtHR ruling in DARAIBOU v. CROATIA on violation of Article 2 of the Convention"/>
    <x v="2"/>
    <n v="-3"/>
    <n v="-3"/>
    <n v="-1"/>
    <n v="0"/>
    <n v="-1"/>
    <n v="-1"/>
    <n v="1"/>
    <s v="High"/>
    <s v="Major ECtHR ruling highlighting serious violations of human rights obligations and generating substantial reputational consequences."/>
    <s v="European Court of Human Rights (HUDOC)"/>
    <s v="https://hudoc.echr.coe.int/eng#{%22itemid%22:[%22001-222311%22]}"/>
    <n v="4"/>
  </r>
  <r>
    <n v="10"/>
    <s v="Croatia"/>
    <x v="48"/>
    <s v="Refugees file lawsuit to Croatia's Constitutional Court over ineffective investigation"/>
    <x v="2"/>
    <n v="0"/>
    <n v="0"/>
    <n v="0"/>
    <n v="0"/>
    <n v="0"/>
    <n v="0"/>
    <n v="0.33"/>
    <s v="Low"/>
    <s v="Primarily a legal accountability initiative with limited immediate operational consequences."/>
    <s v="European Center for Constitutional and Human Rights (ECCHR)"/>
    <s v="https://www.ecchr.eu/en/press-release/refugees-file-lawsuit-to-croatias-constitutional-court/"/>
    <n v="3"/>
  </r>
  <r>
    <n v="10"/>
    <s v="Croatia"/>
    <x v="49"/>
    <s v="The City Assembly of Zagreb adopted a new Action Plan for the integration of applicants for international protection and foreign workers for 2023 and 2024"/>
    <x v="2"/>
    <n v="1.98"/>
    <n v="3"/>
    <n v="1"/>
    <n v="0"/>
    <n v="1"/>
    <n v="1"/>
    <n v="0.66"/>
    <s v="Medium"/>
    <s v="Important local integration policy improving coordination and support for migrants and asylum applicants in Zagreb."/>
    <s v="European Council on Refugees and Exiles (ECRE)"/>
    <s v="https://ecre.org/aida-country-report-on-croatia-2023-update"/>
    <n v="4"/>
  </r>
  <r>
    <n v="10"/>
    <s v="Croatia"/>
    <x v="49"/>
    <s v="Pushbacks documented (HRW): Human Rights Watch reports ongoing, violent pushbacks of migrants to Bosnia"/>
    <x v="0"/>
    <n v="-4"/>
    <n v="-4"/>
    <n v="-1"/>
    <n v="-1"/>
    <n v="-1"/>
    <n v="-1"/>
    <n v="1"/>
    <s v="High"/>
    <s v="Reinforced international scrutiny regarding Croatia’s border practices and intensified debates on EU external border management."/>
    <s v="Human Rights Watch"/>
    <s v="https://www.hrw.org/news/2023/05/03/croatia-ongoing-violent-border-pushbacks"/>
    <n v="4"/>
  </r>
  <r>
    <n v="10"/>
    <s v="Croatia"/>
    <x v="50"/>
    <s v="Migrants “readmitted” to BiH: Surge in returns of refugees/migrants to Bosnia under a bilateral readmission agreement (3,433 people 2017–2023)"/>
    <x v="1"/>
    <n v="-2"/>
    <n v="-2"/>
    <n v="0"/>
    <n v="-1"/>
    <n v="-1"/>
    <n v="0"/>
    <n v="1"/>
    <s v="High"/>
    <s v="Large-scale readmission practices with important humanitarian and cross-border implications for Bosnia and regional migration governance."/>
    <s v="Balkan Insight"/>
    <s v="https://balkaninsight.com/2023/05/23/bosnia-data-contradicts-croatian-claim-about-migrant-refugee-readmissions"/>
    <n v="3"/>
  </r>
  <r>
    <n v="10"/>
    <s v="Croatia"/>
    <x v="51"/>
    <s v="Memorandum of Understanding signed with Frontex"/>
    <x v="1"/>
    <n v="0.66"/>
    <n v="1"/>
    <n v="1"/>
    <n v="0"/>
    <n v="-1"/>
    <n v="1"/>
    <n v="0.66"/>
    <s v="Medium"/>
    <s v="Strengthened operational cooperation with EU border-management institutions while expanding Frontex involvement in Croatia."/>
    <s v="Asylum Information Database (AIDA)"/>
    <s v="https://asylumineurope.org/reports/country/croatia/asylum-procedure/access-procedure-and-registration/access-territory-and-push-backs/"/>
    <n v="4"/>
  </r>
  <r>
    <n v="10"/>
    <s v="Croatia"/>
    <x v="52"/>
    <s v="Opening of &quot;One-Stop Shop&quot; for Refugees and Migrants in Zagreb"/>
    <x v="3"/>
    <n v="1.98"/>
    <n v="3"/>
    <n v="1"/>
    <n v="0"/>
    <n v="1"/>
    <n v="1"/>
    <n v="0.66"/>
    <s v="Medium"/>
    <s v="Important urban integration and service-coordination initiative supporting refugees and migrants at the municipal level."/>
    <s v="Balkan Insight"/>
    <s v="https://balkaninsight.com/2024/09/19/croatias-capital-opens-one-stop-shop-for-refugees-asylum-seekers/"/>
    <n v="3"/>
  </r>
  <r>
    <n v="10"/>
    <s v="Croatia"/>
    <x v="53"/>
    <s v="Reports of Croatian police burning asylum seekers' belongings during pushbacks"/>
    <x v="0"/>
    <n v="-4"/>
    <n v="-4"/>
    <n v="-1"/>
    <n v="-1"/>
    <n v="-1"/>
    <n v="-1"/>
    <n v="1"/>
    <s v="High"/>
    <s v="Serious human-rights allegations with substantial reputational implications for Croatia and EU migration governance debates."/>
    <s v="The Guardian"/>
    <s v="https://www.theguardian.com/global-development/2024/oct/10/photos-croatia-police-phones-passports-asylum-seekers"/>
    <n v="4"/>
  </r>
  <r>
    <n v="10"/>
    <s v="Croatia"/>
    <x v="54"/>
    <s v="Deployed 6 Croatian experts to Lesvos, Greece to assist with refugee processing"/>
    <x v="1"/>
    <n v="0.99"/>
    <n v="3"/>
    <n v="1"/>
    <n v="1"/>
    <n v="0"/>
    <n v="1"/>
    <n v="0.33"/>
    <s v="Low"/>
    <s v="Limited-scale operational contribution to EU migration management with mainly symbolic and cooperative significance."/>
    <s v="European Migration Network (Croatia)"/>
    <s v="https://emn.gov.hr/UserDocsImages/EMN_kratka_izvjesca/2015_emn_country_factsheet_hr_final.pdf"/>
    <n v="3"/>
  </r>
  <r>
    <n v="12"/>
    <s v="Bosnia and Herzegovina"/>
    <x v="55"/>
    <s v="Stabilisation and Association Agreement (SAA) enters into force"/>
    <x v="1"/>
    <n v="1.32"/>
    <n v="2"/>
    <n v="1"/>
    <n v="0"/>
    <n v="0"/>
    <n v="1"/>
    <n v="0.66"/>
    <s v="Medium"/>
    <s v="Important EU integration milestone strengthening Bosnia and Herzegovina’s institutional alignment with European migration and asylum standards."/>
    <s v="European Commission"/>
    <s v="https://enlargement.ec.europa.eu/enlargement-policy/bosnia-and-herzegovina_en"/>
    <n v="5"/>
  </r>
  <r>
    <n v="12"/>
    <s v="Bosnia and Herzegovina"/>
    <x v="56"/>
    <s v="Act on Foreigners (Official Gazette No. 88/15)"/>
    <x v="2"/>
    <n v="1.32"/>
    <n v="2"/>
    <n v="1"/>
    <n v="0"/>
    <n v="0"/>
    <n v="1"/>
    <n v="0.66"/>
    <s v="Medium"/>
    <s v="Established a core legal framework governing migration, residence, and treatment of foreigners within the country."/>
    <s v="NATLEX (ILO)"/>
    <s v="https://natlex.ilo.org/dyn/natlex2/r/natlex/fe/details?cs=1MZCSFvcFNOJzO2BZ-hVVIe0Pom8NnVD4UDhECJUW3BS3jUcfc-cD-IeRktfzNGsdyLUUWiI2-tXi6ydcI-43Rg&amp;p3_isn=102209"/>
    <n v="4"/>
  </r>
  <r>
    <n v="12"/>
    <s v="Bosnia and Herzegovina"/>
    <x v="57"/>
    <s v="Law No. 11 of 2016, Law on Asylum"/>
    <x v="2"/>
    <n v="3"/>
    <n v="3"/>
    <n v="1"/>
    <n v="0"/>
    <n v="1"/>
    <n v="1"/>
    <n v="1"/>
    <s v="High"/>
    <s v="Created the country’s principal asylum framework with long-term institutional and legal implications for migration governance."/>
    <s v="Refworld (UNHCR)"/>
    <s v="http://refworld.org/legal/legislation/natlegbod/2016/en/123253"/>
    <n v="4"/>
  </r>
  <r>
    <n v="12"/>
    <s v="Bosnia and Herzegovina"/>
    <x v="58"/>
    <s v="Official “closure” of the Western Balkan route at the Croatia–BiH border, sharply reducing unregulated transit crossings"/>
    <x v="0"/>
    <n v="-2"/>
    <n v="-2"/>
    <n v="-1"/>
    <n v="0"/>
    <n v="-1"/>
    <n v="0"/>
    <n v="1"/>
    <s v="High"/>
    <s v="Significantly altered regional migration routes and redirected migration pressures toward Bosnia and Herzegovina."/>
    <s v="Euractiv"/>
    <s v="https://www.euractiv.com/section/politics/news/migrants-take-new-balkan-route-through-bosnia"/>
    <n v="5"/>
  </r>
  <r>
    <n v="12"/>
    <s v="Bosnia and Herzegovina"/>
    <x v="59"/>
    <s v="Rulebook on Entry and Stay of Aliens adopted"/>
    <x v="2"/>
    <n v="0.66"/>
    <n v="2"/>
    <n v="1"/>
    <n v="0"/>
    <n v="0"/>
    <n v="1"/>
    <n v="0.33"/>
    <s v="Low"/>
    <s v="Administrative and procedural regulation with limited broader operational consequences."/>
    <s v="Ministry of Foreign Affairs (BiH)"/>
    <s v="https://mvp.gov.ba/HTML/PDFDoc/Konzularno/Rulebook%20on%20entry%20and%20stay%20of%20aliens.pdf"/>
    <n v="3"/>
  </r>
  <r>
    <n v="12"/>
    <s v="Bosnia and Herzegovina"/>
    <x v="60"/>
    <s v="Strategy in the area of migration and asylum policy and the Action Plan for the period 2016-2020"/>
    <x v="2"/>
    <n v="1.98"/>
    <n v="3"/>
    <n v="1"/>
    <n v="0"/>
    <n v="1"/>
    <n v="1"/>
    <n v="0.66"/>
    <s v="Medium"/>
    <s v="Established a strategic framework for migration and asylum governance with moderate long-term institutional importance."/>
    <s v="Ministry of Security (BiH)"/>
    <s v="https://msb.gov.ba/vijesti/saopstenja/default.aspx?id=14351&amp;langTag=en-US"/>
    <n v="3"/>
  </r>
  <r>
    <n v="12"/>
    <s v="Bosnia and Herzegovina"/>
    <x v="61"/>
    <s v="Protocol on Technical Adaptation of SAA initialled"/>
    <x v="2"/>
    <n v="0.66"/>
    <n v="2"/>
    <n v="1"/>
    <n v="0"/>
    <n v="0"/>
    <n v="1"/>
    <n v="0.33"/>
    <s v="Low"/>
    <s v="Technical adaptation measure primarily linked to EU integration procedures rather than direct migration governance change."/>
    <s v="European Commission"/>
    <s v="https://enlargement.ec.europa.eu/system/files/2018-12/20161109_report_bosnia_and_herzegovina.pdf"/>
    <n v="5"/>
  </r>
  <r>
    <n v="12"/>
    <s v="Bosnia and Herzegovina"/>
    <x v="62"/>
    <s v="Bylaw No. 16 of 2016, Law on Asylum"/>
    <x v="2"/>
    <n v="0.66"/>
    <n v="2"/>
    <n v="1"/>
    <n v="0"/>
    <n v="0"/>
    <n v="1"/>
    <n v="0.33"/>
    <s v="Low"/>
    <s v="Secondary implementing legislation clarifying asylum procedures without substantially transforming the system."/>
    <s v="Refworld (UNHCR)"/>
    <s v="https://www.refworld.org/legal/legislation/natlegbod/2016/en/123226"/>
    <n v="4"/>
  </r>
  <r>
    <n v="12"/>
    <s v="Bosnia and Herzegovina"/>
    <x v="63"/>
    <s v="Action Plan for Implementation of UNSCR 1325 on Women, Peace and Security in Bosnia and Herzegovina"/>
    <x v="2"/>
    <n v="1.98"/>
    <n v="3"/>
    <n v="1"/>
    <n v="0"/>
    <n v="1"/>
    <n v="1"/>
    <n v="0.66"/>
    <s v="Medium"/>
    <s v="Important governance and protection framework addressing vulnerable groups, including migrant and refugee women."/>
    <s v="Women, Peace and Security Focal Points Network"/>
    <s v="https://wpsfocalpointsnetwork.org/wp-content/uploads/2021/07/Bosnia-and-Herzegovina-2018-2022.pdf"/>
    <n v="5"/>
  </r>
  <r>
    <n v="12"/>
    <s v="Bosnia and Herzegovina"/>
    <x v="64"/>
    <s v="Bihać emerges as the new hotspot"/>
    <x v="3"/>
    <n v="-4"/>
    <n v="-4"/>
    <n v="-1"/>
    <n v="-1"/>
    <n v="-1"/>
    <n v="-1"/>
    <n v="1"/>
    <s v="High"/>
    <s v="Major humanitarian and migration-management turning point that transformed Bihać into a key bottleneck along the Balkan route."/>
    <s v="Movements Journal"/>
    <s v="https://movements-journal.org/issues/08.balkanroute/08.hromadzic--notes-from-the-field.html"/>
    <n v="6"/>
  </r>
  <r>
    <n v="12"/>
    <s v="Bosnia and Herzegovina"/>
    <x v="65"/>
    <s v="Urgent Measures Action Plan on Illegal Migration &amp; Border Security"/>
    <x v="0"/>
    <n v="0"/>
    <n v="0"/>
    <n v="1"/>
    <n v="0"/>
    <n v="-1"/>
    <n v="0"/>
    <n v="0.66"/>
    <s v="Medium"/>
    <s v="Strengthened border-management and security capacities in response to rising migration pressures."/>
    <s v="Balkan Insight"/>
    <s v="https://balkaninsight.com/2018/06/19/bosnia-s-police-border-getting-new-200-members-06-19-2018"/>
    <n v="4"/>
  </r>
  <r>
    <n v="12"/>
    <s v="Bosnia and Herzegovina"/>
    <x v="66"/>
    <s v="Readmission Agreement with Pakistan enters into force (implementing protocol)"/>
    <x v="1"/>
    <n v="0.66"/>
    <n v="1"/>
    <n v="1"/>
    <n v="0"/>
    <n v="-1"/>
    <n v="1"/>
    <n v="0.66"/>
    <s v="Medium"/>
    <s v="Important return-management and migration-control mechanism with moderate operational implications."/>
    <s v="European Commission"/>
    <s v="https://enlargement.ec.europa.eu/document/download/b20c3204-68d0-47e7-b344-5e2562a3adce_en"/>
    <n v="3"/>
  </r>
  <r>
    <n v="12"/>
    <s v="Bosnia and Herzegovina"/>
    <x v="67"/>
    <s v="Lipa camp destroyed by fire"/>
    <x v="3"/>
    <n v="-3"/>
    <n v="-3"/>
    <n v="-1"/>
    <n v="0"/>
    <n v="-1"/>
    <n v="-1"/>
    <n v="1"/>
    <s v="High"/>
    <s v="Severe humanitarian and governance crisis that exposed weaknesses in Bosnia and Herzegovina’s migrant reception system."/>
    <s v="Balkan Insight"/>
    <s v="https://balkaninsight.com/2020/12/23/bosnias-troubled-lipa-camp-set-alight-on-closure-day/"/>
    <n v="8"/>
  </r>
  <r>
    <n v="12"/>
    <s v="Bosnia and Herzegovina"/>
    <x v="68"/>
    <s v="HRW: “Migrants left in the cold” report"/>
    <x v="3"/>
    <n v="-3"/>
    <n v="-3"/>
    <n v="-1"/>
    <n v="0"/>
    <n v="-1"/>
    <n v="-1"/>
    <n v="1"/>
    <s v="High"/>
    <s v="Generated substantial international criticism and highlighted serious humanitarian deficiencies in migrant accommodation and protection."/>
    <s v="Human Rights Watch"/>
    <s v="https://www.hrw.org/news/2021/01/21/bosnia-and-herzegovina-migrants-left-cold"/>
    <n v="5"/>
  </r>
  <r>
    <n v="12"/>
    <s v="Bosnia and Herzegovina"/>
    <x v="69"/>
    <s v="New container-style Lipa reception centre opens"/>
    <x v="1"/>
    <n v="-0.66"/>
    <n v="-1"/>
    <n v="1"/>
    <n v="0"/>
    <n v="-1"/>
    <n v="-1"/>
    <n v="0.66"/>
    <s v="Medium"/>
    <s v="Important improvement in reception infrastructure and accommodation capacity, though geographically concentrated."/>
    <s v="International Organization for Migration"/>
    <s v="https://bih.iom.int/news/european-union-supports-establishment-new-temporary-reception-centre-lipa"/>
    <n v="5"/>
  </r>
  <r>
    <n v="12"/>
    <s v="Bosnia and Herzegovina"/>
    <x v="70"/>
    <s v="Bylaw No. 75 of 2021 (Amendments to the Bylaw on Asylum)"/>
    <x v="2"/>
    <n v="0"/>
    <n v="0"/>
    <n v="0"/>
    <n v="0"/>
    <n v="0"/>
    <n v="0"/>
    <n v="0.33"/>
    <s v="Low"/>
    <s v="Technical amendment to asylum-related procedures with limited direct policy impact."/>
    <s v="Refworld (UNHCR)"/>
    <s v="https://www.refworld.org/legal/decreees/natlegbod/2021/bs/147521"/>
    <n v="3"/>
  </r>
  <r>
    <n v="12"/>
    <s v="Bosnia and Herzegovina"/>
    <x v="70"/>
    <s v="Migration and Asylum Strategy 2021-2025"/>
    <x v="2"/>
    <n v="1.32"/>
    <n v="2"/>
    <n v="1"/>
    <n v="0"/>
    <n v="0"/>
    <n v="1"/>
    <n v="0.66"/>
    <s v="Medium"/>
    <s v="Long-term strategic framework guiding migration and asylum governance for the 2021–2025 period."/>
    <s v="Ministry of Security (BiH)"/>
    <s v="https://msb.gov.ba/PDF/120120244.pdf"/>
    <n v="3"/>
  </r>
  <r>
    <n v="12"/>
    <s v="Bosnia and Herzegovina"/>
    <x v="71"/>
    <s v="Decision to tighten border controls"/>
    <x v="2"/>
    <n v="-2"/>
    <n v="-2"/>
    <n v="1"/>
    <n v="-1"/>
    <n v="-1"/>
    <n v="-1"/>
    <n v="1"/>
    <s v="High"/>
    <s v="Strengthened restrictive border-management practices with important regional and humanitarian implications."/>
    <s v="Balkan Insight"/>
    <s v="https://balkaninsight.com/2022/12/09/bosnia-to-tighten-border-controls-in-line-with-eu-demands/"/>
    <n v="4"/>
  </r>
  <r>
    <n v="12"/>
    <s v="Bosnia and Herzegovina"/>
    <x v="72"/>
    <s v="Amendments to Law on Foreigners (Official Gazette No. 63)"/>
    <x v="2"/>
    <n v="0"/>
    <n v="0"/>
    <n v="1"/>
    <n v="0"/>
    <n v="-1"/>
    <n v="0"/>
    <n v="0.66"/>
    <s v="Medium"/>
    <s v="Moderate legislative update affecting migration governance and regulation of foreigners."/>
    <s v="Law Firm Sajić"/>
    <s v="https://advokatskafirmasajic.com/blog/the-law-on-amendments-to-the-law-on-foreigners-of-bih-published-in-the-official-gazette-of-bih-no-63-of-15-september-2023-entered-into-force-on-september-23-2023/"/>
    <n v="3"/>
  </r>
  <r>
    <n v="12"/>
    <s v="Bosnia and Herzegovina"/>
    <x v="73"/>
    <s v="Mandate to negotiate a Frontex Status Agreement"/>
    <x v="1"/>
    <n v="1.32"/>
    <n v="2"/>
    <n v="1"/>
    <n v="1"/>
    <n v="-1"/>
    <n v="1"/>
    <n v="0.66"/>
    <s v="Medium"/>
    <s v="Important step toward enhanced operational cooperation with the EU and Frontex in border management."/>
    <s v="European Commission"/>
    <s v="https://enlargement.ec.europa.eu/document/download/fa9da504-4ecb-4317-b583-c9fff0b833b2_en"/>
    <n v="4"/>
  </r>
  <r>
    <n v="12"/>
    <s v="Bosnia and Herzegovina"/>
    <x v="74"/>
    <s v="Draft Law on Border Control finalized"/>
    <x v="2"/>
    <n v="1.32"/>
    <n v="2"/>
    <n v="1"/>
    <n v="1"/>
    <n v="-1"/>
    <n v="1"/>
    <n v="0.66"/>
    <s v="Medium"/>
    <s v="Potentially significant institutional reform aimed at strengthening border-management governance and EU alignment."/>
    <s v="European Commission"/>
    <s v="https://enlargement.ec.europa.eu/document/download/451db011-6779-40ea-b34b-a0eeda451746_en?filename=Bosnia+and+Herzegovina+Report+2024.pdf"/>
    <n v="3"/>
  </r>
  <r>
    <n v="7"/>
    <s v="Serbia"/>
    <x v="33"/>
    <s v="Opening of Preševo and Miratovac Reception Centres"/>
    <x v="3"/>
    <n v="3"/>
    <n v="3"/>
    <n v="1"/>
    <n v="0"/>
    <n v="1"/>
    <n v="1"/>
    <n v="1"/>
    <s v="High"/>
    <s v="Reception centres improved Serbia’s humanitarian response capacity and aligned with EU-supported migrant management practices."/>
    <s v="International Organization for Migration"/>
    <s v="https://www.iom.int/sites/g/files/tmzbdl2616/files/country_appeal/file/IOM-European-Migration-Crisis-WB-Response-Plan-Appeal.pdf"/>
    <n v="4"/>
  </r>
  <r>
    <n v="7"/>
    <s v="Serbia"/>
    <x v="75"/>
    <s v="Hungary Implements Strict Border Controls, Affecting Serbia"/>
    <x v="0"/>
    <n v="-4"/>
    <n v="-4"/>
    <n v="-1"/>
    <n v="-1"/>
    <n v="-1"/>
    <n v="-1"/>
    <n v="1"/>
    <s v="High"/>
    <s v="Hungary’s restrictive border policy created bottlenecks in Serbia, increased stranded migrant populations, and worsened regional tensions."/>
    <s v="The Guardian"/>
    <s v="https://www.theguardian.com/world/2015/sep/15/hungary-strict-new-border-controls-crackdown-refugees-serbia"/>
    <n v="7"/>
  </r>
  <r>
    <n v="7"/>
    <s v="Serbia"/>
    <x v="34"/>
    <s v="_x0009_Serbia pledges to keep borders open despite regional closures"/>
    <x v="1"/>
    <n v="4"/>
    <n v="4"/>
    <n v="1"/>
    <n v="1"/>
    <n v="1"/>
    <n v="1"/>
    <n v="1"/>
    <s v="High"/>
    <s v="Keeping borders open supported humanitarian transit, reduced regional pressure, and aligned Serbia with cooperative EU migration management."/>
    <s v="UNHCR"/>
    <s v="https://www.unhcr.org/mt/3087-unhcr-chief-says-absolute-nonsense-blame-refugees-terror.html"/>
    <n v="4"/>
  </r>
  <r>
    <n v="7"/>
    <s v="Serbia"/>
    <x v="76"/>
    <s v="Serbia Bans Croatian Imports Amid Refugee Crisis"/>
    <x v="3"/>
    <n v="-1.98"/>
    <n v="-3"/>
    <n v="-1"/>
    <n v="-1"/>
    <n v="0"/>
    <n v="-1"/>
    <n v="0.66"/>
    <s v="Medium"/>
    <s v="Trade restrictions and bilateral tensions with Croatia negatively affected regional cooperation during the refugee crisis."/>
    <s v="Al Jazeera"/>
    <s v="https://www.aljazeera.com/news/2015/9/25/tensions-between-croatia-and-serbia-rise-over-refugees"/>
    <n v="6"/>
  </r>
  <r>
    <n v="7"/>
    <s v="Serbia"/>
    <x v="77"/>
    <s v="Over 10.000 Migrants Stranded on Serbian-Croatian Border"/>
    <x v="0"/>
    <n v="-3"/>
    <n v="-3"/>
    <n v="-1"/>
    <n v="-1"/>
    <n v="-1"/>
    <n v="0"/>
    <n v="1"/>
    <s v="High"/>
    <s v="Large numbers of stranded migrants created humanitarian and logistical pressure on Serbia and worsened migrant conditions."/>
    <s v="The Guardian"/>
    <s v="https://www.theguardian.com/world/2015/oct/19/refugees-stranded-on-serbian-croatian-border"/>
    <n v="6"/>
  </r>
  <r>
    <n v="7"/>
    <s v="Serbia"/>
    <x v="78"/>
    <s v="Initiation of Migrant Transfer Regime to Croatia"/>
    <x v="1"/>
    <n v="1.98"/>
    <n v="3"/>
    <n v="1"/>
    <n v="1"/>
    <n v="0"/>
    <n v="1"/>
    <n v="0.66"/>
    <s v="Medium"/>
    <s v="The organized transfer regime improved coordination with Croatia and stabilized migration flows through the Western Balkan route."/>
    <s v="Commissariat for Refugees and Migration (Serbia)"/>
    <s v="https://kirs.gov.rs/eng/asylum/overview-of-activities-during-the-increased-influx-of-migrants"/>
    <n v="4"/>
  </r>
  <r>
    <n v="7"/>
    <s v="Serbia"/>
    <x v="79"/>
    <s v="Termination of Visa-Free Regime with Iran"/>
    <x v="0"/>
    <n v="0.33"/>
    <n v="1"/>
    <n v="1"/>
    <n v="0"/>
    <n v="-1"/>
    <n v="1"/>
    <n v="0.33"/>
    <s v="Low"/>
    <s v="The termination of visa-free travel with Iran reduced irregular arrivals and aligned Serbia more closely with EU visa expectations."/>
    <s v="MENA Research Center"/>
    <s v="https://www.mena-researchcenter.org/new-migration-policy-on-the-balkans/"/>
    <n v="6"/>
  </r>
  <r>
    <n v="7"/>
    <s v="Serbia"/>
    <x v="80"/>
    <s v="EU Grants €28 Million for Border Management and €16 Million for Refugee Support"/>
    <x v="1"/>
    <n v="1.98"/>
    <n v="3"/>
    <n v="1"/>
    <n v="0"/>
    <n v="1"/>
    <n v="1"/>
    <n v="0.66"/>
    <s v="Medium"/>
    <s v="EU financial support strengthened Serbia’s border management and refugee assistance capacities while improving cooperation with the EU."/>
    <s v="European External Action Service (EEAS)"/>
    <s v="https://www.eeas.europa.eu/node/39881_en"/>
    <n v="3"/>
  </r>
  <r>
    <n v="7"/>
    <s v="Serbia"/>
    <x v="81"/>
    <s v="Adoption of the Law on Asylum and Temporary Protection"/>
    <x v="2"/>
    <n v="3"/>
    <n v="3"/>
    <n v="1"/>
    <n v="0"/>
    <n v="1"/>
    <n v="1"/>
    <n v="1"/>
    <s v="High"/>
    <s v="The law modernized Serbia’s asylum framework and improved alignment with international and EU protection standards."/>
    <s v="Refworld (UNHCR)"/>
    <s v="https://www.refworld.org/legal/legislation/natlegbod/2018/en/123545"/>
    <n v="3"/>
  </r>
  <r>
    <n v="7"/>
    <s v="Serbia"/>
    <x v="82"/>
    <s v="Rulebook on House Rules in Asylum Centres"/>
    <x v="2"/>
    <n v="1.98"/>
    <n v="3"/>
    <n v="1"/>
    <n v="0"/>
    <n v="1"/>
    <n v="1"/>
    <n v="0.66"/>
    <s v="Medium"/>
    <s v="The rulebook standardized asylum-centre procedures and improved management and living conditions within reception facilities."/>
    <s v="Refworld (UNHCR)"/>
    <s v="https://www.refworld.org/legal/decreees/natlegbod/2018/en/123509"/>
    <n v="3"/>
  </r>
  <r>
    <n v="7"/>
    <s v="Serbia"/>
    <x v="83"/>
    <s v="_x0009_Establishment of the Coordination Body and launch of the Economic Migration Strategy"/>
    <x v="2"/>
    <n v="0.66"/>
    <n v="2"/>
    <n v="1"/>
    <n v="0"/>
    <n v="0"/>
    <n v="1"/>
    <n v="0.33"/>
    <s v="Low"/>
    <s v="The coordination body and migration strategy improved Serbia’s institutional approach to labour and economic migration management."/>
    <s v="Government of Serbia"/>
    <s v="https://www.srbija.gov.rs/vest/en/150705/government-adopts-economic-migration-strategy.php"/>
    <n v="4"/>
  </r>
  <r>
    <n v="7"/>
    <s v="Serbia"/>
    <x v="83"/>
    <s v="Government adopts Economic Migration Strategy 2021–2027"/>
    <x v="2"/>
    <n v="0.66"/>
    <n v="2"/>
    <n v="1"/>
    <n v="0"/>
    <n v="0"/>
    <n v="1"/>
    <n v="0.33"/>
    <s v="Low"/>
    <s v="The strategy provided a long-term framework for managing labour migration and demographic challenges in cooperation with EU standards."/>
    <s v="Ministry of Labour, Employment, Veteran and Social Affairs (Serbia)"/>
    <s v="https://www.minrzs.gov.rs/sites/default/files/2021-02/ENG_%20Strategija%20ekonomske%20migracije%202021-2027-30_10%20%28002%29.pdf"/>
    <n v="3"/>
  </r>
  <r>
    <n v="7"/>
    <s v="Serbia"/>
    <x v="39"/>
    <s v="Temporary closure of Serbia’s borders due to COVID-19"/>
    <x v="3"/>
    <n v="-1.32"/>
    <n v="-2"/>
    <n v="0"/>
    <n v="-1"/>
    <n v="-1"/>
    <n v="0"/>
    <n v="0.66"/>
    <s v="Medium"/>
    <s v="COVID-19 border closures restricted mobility and asylum access while disrupting regional migration movements."/>
    <s v="ReliefWeb"/>
    <s v="https://reliefweb.int/report/serbia/between-closed-borders-2020-21-joint-agency-paper-refugees-and-migrants-serbia-2020"/>
    <n v="6"/>
  </r>
  <r>
    <n v="7"/>
    <s v="Serbia"/>
    <x v="84"/>
    <s v="Restrictions on movement for migrants and asylum-seekers in reception centres"/>
    <x v="3"/>
    <n v="-0.33"/>
    <n v="-1"/>
    <n v="0"/>
    <n v="0"/>
    <n v="-1"/>
    <n v="0"/>
    <n v="0.33"/>
    <s v="Low"/>
    <s v="Movement restrictions limited migrants’ freedoms and reduced access to services during the pandemic period."/>
    <s v="Balkan Insight"/>
    <s v="https://balkaninsight.com/2020/03/17/serbia-restricts-movement-for-migrants-asylum-seekers"/>
    <n v="4"/>
  </r>
  <r>
    <n v="7"/>
    <s v="Serbia"/>
    <x v="85"/>
    <s v="Finalization of Amendments to the Asylum Act"/>
    <x v="2"/>
    <n v="1.98"/>
    <n v="3"/>
    <n v="1"/>
    <n v="0"/>
    <n v="1"/>
    <n v="1"/>
    <n v="0.66"/>
    <s v="Medium"/>
    <s v="The amendments improved asylum procedures and strengthened Serbia’s legal migration governance framework."/>
    <s v="Asylum Information Database (AIDA)"/>
    <s v="https://asylumineurope.org/reports/country/serbia/asylum-procedure/general/short-overview-asylum-procedure/"/>
    <n v="4"/>
  </r>
  <r>
    <n v="7"/>
    <s v="Serbia"/>
    <x v="86"/>
    <s v="Serbia Becomes Observer Country to the European Migration Network"/>
    <x v="1"/>
    <n v="0.66"/>
    <n v="2"/>
    <n v="1"/>
    <n v="0"/>
    <n v="0"/>
    <n v="1"/>
    <n v="0.33"/>
    <s v="Low"/>
    <s v="Observer status strengthened Serbia’s institutional cooperation with EU migration bodies and improved policy coordination."/>
    <s v="European Commission"/>
    <s v="https://home-affairs.ec.europa.eu/news/serbia-becomes-observer-country-european-migration-network-2023-03-16_en"/>
    <n v="5"/>
  </r>
  <r>
    <n v="7"/>
    <s v="Serbia"/>
    <x v="87"/>
    <s v="Hundreds of police deployed to Hungary border zone after deadly migrant shooting"/>
    <x v="3"/>
    <n v="0"/>
    <n v="0"/>
    <n v="1"/>
    <n v="0"/>
    <n v="-1"/>
    <n v="0"/>
    <n v="0.33"/>
    <s v="Low"/>
    <s v="Increased police deployment improved domestic security control but negatively affected migrant conditions near the border."/>
    <s v="Associated Press"/>
    <s v="https://apnews.com/article/583b81ee9a539e3788fae7b5481284ac"/>
    <n v="7"/>
  </r>
  <r>
    <n v="7"/>
    <s v="Serbia"/>
    <x v="88"/>
    <s v="Increased Arrivals Amid Evictions and Raids"/>
    <x v="3"/>
    <n v="-3"/>
    <n v="-3"/>
    <n v="-1"/>
    <n v="0"/>
    <n v="-1"/>
    <n v="-1"/>
    <n v="1"/>
    <s v="High"/>
    <s v="Evictions and raids worsened humanitarian conditions for migrants and increased criticism from human rights organizations."/>
    <s v="European Council on Refugees and Exiles (ECRE)"/>
    <s v="https://ecre.org/balkan-route-increased-arrivals-in-serbia-amid-evictions-and-raids-croatia-slovenia-and-austria-introduce-internal-border-checks-to-curb-migration-migrants-report-being-treated-like-anima/"/>
    <n v="4"/>
  </r>
  <r>
    <n v="7"/>
    <s v="Serbia"/>
    <x v="89"/>
    <s v="Legislative reforms streamlining work permits &amp; residence for foreigners"/>
    <x v="2"/>
    <n v="0.66"/>
    <n v="2"/>
    <n v="1"/>
    <n v="0"/>
    <n v="0"/>
    <n v="1"/>
    <n v="0.33"/>
    <s v="Low"/>
    <s v="The reforms simplified residence and work permit procedures, improving Serbia’s attractiveness for legal labour migration."/>
    <s v="Immigrate to Serbia"/>
    <s v="https://immigratetoserbia.com/streamlining-work-permits-and-residence-for-foreigners-in-serbia-recent-legislative-changes"/>
    <n v="3"/>
  </r>
  <r>
    <n v="7"/>
    <s v="Serbia"/>
    <x v="90"/>
    <s v="Allegations of Migrant Mistreatment at Serbian Border"/>
    <x v="3"/>
    <n v="-4"/>
    <n v="-4"/>
    <n v="-1"/>
    <n v="-1"/>
    <n v="-1"/>
    <n v="-1"/>
    <n v="1"/>
    <s v="High"/>
    <s v="Reports of abuse and degrading treatment at borders seriously harmed migrant welfare and damaged Serbia’s international reputation."/>
    <s v="The Guardian"/>
    <s v="https://www.theguardian.com/global-development/2024/feb/22/videos-show-migrants-stripped-of-clothing-in-freezing-temperatures-at-serbian-border"/>
    <n v="6"/>
  </r>
  <r>
    <n v="7"/>
    <s v="Serbia"/>
    <x v="91"/>
    <s v="First travel documents were issued to persons granted refugee status"/>
    <x v="2"/>
    <n v="1.98"/>
    <n v="3"/>
    <n v="1"/>
    <n v="0"/>
    <n v="1"/>
    <n v="1"/>
    <n v="0.66"/>
    <s v="Medium"/>
    <s v="Issuing refugee travel documents strengthened legal protection and integration opportunities for recognized refugees."/>
    <s v="Asylum Information Database (AIDA)"/>
    <s v="https://asylumineurope.org/reports/country/serbia/overview-main-changes-previous-report-update/"/>
    <n v="3"/>
  </r>
  <r>
    <n v="7"/>
    <s v="Serbia"/>
    <x v="92"/>
    <s v="EU–Serbia Operational Cooperation Agreement with Frontex"/>
    <x v="1"/>
    <n v="1.32"/>
    <n v="2"/>
    <n v="1"/>
    <n v="1"/>
    <n v="-1"/>
    <n v="1"/>
    <n v="0.66"/>
    <s v="Medium"/>
    <s v="The Frontex agreement improved operational cooperation with the EU on border management but raised concerns regarding migrant treatment."/>
    <s v="European Commission"/>
    <s v="https://home-affairs.ec.europa.eu/news/eu-signs-agreement-serbia-strengthen-collaboration-migration-and-border-management-2024-06-25_en"/>
    <n v="4"/>
  </r>
  <r>
    <n v="7"/>
    <s v="Serbia"/>
    <x v="93"/>
    <s v="Serbia refuses to build migrant detention centres but agrees joint border patrols with Hungary and Slovakia (Komárno meeting)"/>
    <x v="1"/>
    <n v="0.66"/>
    <n v="2"/>
    <n v="0"/>
    <n v="1"/>
    <n v="0"/>
    <n v="1"/>
    <n v="0.33"/>
    <s v="Low"/>
    <s v="Joint patrol cooperation strengthened regional migration management coordination without introducing harsher detention measures."/>
    <s v="Reuters"/>
    <s v="https://www.reuters.com/world/europe/slovak-pm-fico-says-fight-against-illegal-migration-an-absolute-priority-2024-10-22"/>
    <n v="6"/>
  </r>
  <r>
    <n v="7"/>
    <s v="Serbia"/>
    <x v="94"/>
    <s v="Serbia Recognized as Key Partner for EU in Managing Migration Flows"/>
    <x v="1"/>
    <n v="0.66"/>
    <n v="2"/>
    <n v="1"/>
    <n v="0"/>
    <n v="0"/>
    <n v="1"/>
    <n v="0.33"/>
    <s v="Low"/>
    <s v="EU recognition confirmed Serbia’s growing importance in regional migration governance and strengthened EU relations."/>
    <s v="Government of Serbia"/>
    <s v="https://www.srbija.gov.rs/vest/en/235342/serbia-a-key-partner-for-eu-in-managing-migration-flows.php"/>
    <n v="4"/>
  </r>
  <r>
    <n v="7"/>
    <s v="Serbia"/>
    <x v="95"/>
    <s v="Expulsion of Foreign Activists from Serbia"/>
    <x v="3"/>
    <n v="-1.32"/>
    <n v="-2"/>
    <n v="-1"/>
    <n v="0"/>
    <n v="0"/>
    <n v="-1"/>
    <n v="0.66"/>
    <s v="Medium"/>
    <s v="The expulsion of activists raised concerns regarding civil rights and democratic standards, negatively affecting Serbia’s international image."/>
    <s v="Cadena SER"/>
    <s v="https://cadenaser.com/nacional/2025/01/24/mas-de-300-organizaciones-sociales-europeas-denuncian-la-expulsion-de-activistas-de-serbia-cadena-ser/"/>
    <n v="9"/>
  </r>
  <r>
    <n v="13"/>
    <s v="North Macedonia"/>
    <x v="55"/>
    <s v="Temporary 72-hour transit visas introduced"/>
    <x v="3"/>
    <n v="2"/>
    <n v="2"/>
    <n v="0"/>
    <n v="1"/>
    <n v="1"/>
    <n v="0"/>
    <n v="1"/>
    <s v="High"/>
    <s v="The introduction of temporary transit visas facilitated regulated migrant movement through North Macedonia and reduced irregular crossings."/>
    <s v="Centre for Eastern Studies (OSW)"/>
    <s v="https://www.osw.waw.pl/en/publikacje/analyses/2015-08-26/macedonia-and-migrant-crisis"/>
    <n v="3"/>
  </r>
  <r>
    <n v="13"/>
    <s v="North Macedonia"/>
    <x v="96"/>
    <s v="State of emergency declared in border regions"/>
    <x v="3"/>
    <n v="-0.66"/>
    <n v="-1"/>
    <n v="1"/>
    <n v="-1"/>
    <n v="-1"/>
    <n v="0"/>
    <n v="0.66"/>
    <s v="Medium"/>
    <s v="The state of emergency increased state control over migration flows but negatively affected migrant access and conditions."/>
    <s v="Centre for Eastern Studies (OSW)"/>
    <s v="https://www.osw.waw.pl/en/publikacje/analyses/2015-08-26/macedonia-and-migrant-crisis"/>
    <n v="7"/>
  </r>
  <r>
    <n v="13"/>
    <s v="North Macedonia"/>
    <x v="97"/>
    <s v="Tightened controls at Greek border points"/>
    <x v="0"/>
    <n v="-0.66"/>
    <n v="-1"/>
    <n v="1"/>
    <n v="-1"/>
    <n v="-1"/>
    <n v="0"/>
    <n v="0.66"/>
    <s v="Medium"/>
    <s v="Tightened border controls reduced transit flows and contributed to migrant bottlenecks along the Balkan route."/>
    <s v="The Guardian"/>
    <s v="https://www.theguardian.com/world/2015/nov/23/stranded-migrants-sew-mouths-shut-in-protest-against-balkan-border-controls"/>
    <n v="5"/>
  </r>
  <r>
    <n v="13"/>
    <s v="North Macedonia"/>
    <x v="98"/>
    <s v="Construction of the first razor-wire fence on the Greek border"/>
    <x v="0"/>
    <n v="-2"/>
    <n v="-2"/>
    <n v="1"/>
    <n v="-1"/>
    <n v="-1"/>
    <n v="-1"/>
    <n v="1"/>
    <s v="High"/>
    <s v="The construction of the border fence significantly restricted migration flows and negatively affected regional mobility and migrant welfare."/>
    <s v="Reuters"/>
    <s v="https://www.reuters.com/article/sustainability/police-migrants-clash-on-macedonia-border-soldiers-build-fence-idUSKBN0TH04L"/>
    <n v="5"/>
  </r>
  <r>
    <n v="13"/>
    <s v="North Macedonia"/>
    <x v="99"/>
    <s v="Law on International and Temporary Protection of 2018"/>
    <x v="2"/>
    <n v="3"/>
    <n v="3"/>
    <n v="1"/>
    <n v="0"/>
    <n v="1"/>
    <n v="1"/>
    <n v="1"/>
    <s v="High"/>
    <s v="The law strengthened the asylum framework and improved alignment with EU and international protection standards."/>
    <s v="Refworld (UNHCR)"/>
    <s v="https://www.refworld.org/legal/decreees/natlegbod/2018/en/121462"/>
    <n v="3"/>
  </r>
  <r>
    <n v="13"/>
    <s v="North Macedonia"/>
    <x v="84"/>
    <s v="State of Emergency &amp; Border Closures due to COVID-19"/>
    <x v="3"/>
    <n v="-1.32"/>
    <n v="-2"/>
    <n v="0"/>
    <n v="-1"/>
    <n v="-1"/>
    <n v="0"/>
    <n v="0.66"/>
    <s v="Medium"/>
    <s v="COVID-19 emergency measures and border closures restricted mobility and asylum access while disrupting regional migration routes."/>
    <s v="Global Detention Project"/>
    <s v="https://www.globaldetentionproject.org/29-may-2020-macedonia"/>
    <n v="5"/>
  </r>
  <r>
    <n v="13"/>
    <s v="North Macedonia"/>
    <x v="41"/>
    <s v="IOM Country Strategy for North Macedonia 2022–2025 launched"/>
    <x v="1"/>
    <n v="1.98"/>
    <n v="3"/>
    <n v="1"/>
    <n v="0"/>
    <n v="1"/>
    <n v="1"/>
    <n v="0.66"/>
    <s v="Medium"/>
    <s v="The IOM strategy strengthened migration governance capacities and improved international cooperation on migration management."/>
    <s v="International Organization for Migration"/>
    <s v="https://north-macedonia.iom.int/sites/g/files/tmzbdl2301/files/documents/2023-02/IOM%20Country%20Strategy%20for%20North%20Macedonia%202022-2025.pdf"/>
    <n v="3"/>
  </r>
  <r>
    <n v="13"/>
    <s v="North Macedonia"/>
    <x v="100"/>
    <s v="EASO–North Macedonia Roadmap for CEAS Alignment"/>
    <x v="1"/>
    <n v="1.98"/>
    <n v="3"/>
    <n v="1"/>
    <n v="0"/>
    <n v="1"/>
    <n v="1"/>
    <n v="0.66"/>
    <s v="Medium"/>
    <s v="The roadmap supported alignment with the Common European Asylum System and strengthened EU cooperation."/>
    <s v="European Union Agency for Asylum (EUAA)"/>
    <s v="https://euaa.europa.eu/sites/default/files/2022-02/MK_RM_Cover.pd"/>
    <n v="3"/>
  </r>
  <r>
    <n v="13"/>
    <s v="North Macedonia"/>
    <x v="101"/>
    <s v="Resolution on Migration Policy 2021–2025 adopted"/>
    <x v="2"/>
    <n v="0.66"/>
    <n v="2"/>
    <n v="1"/>
    <n v="0"/>
    <n v="0"/>
    <n v="1"/>
    <n v="0.33"/>
    <s v="Low"/>
    <s v="The migration policy resolution provided a long-term strategic framework for migration governance and policy coordination."/>
    <s v="United Nations North Macedonia"/>
    <s v="https://northmacedonia.un.org/en/173666-new-resolution-migration-policy-2021-2025-was-adopted-parliament"/>
    <n v="3"/>
  </r>
  <r>
    <n v="13"/>
    <s v="North Macedonia"/>
    <x v="102"/>
    <s v="Administrative Arrangement for Frontex operational activities signed"/>
    <x v="1"/>
    <n v="1.32"/>
    <n v="2"/>
    <n v="1"/>
    <n v="1"/>
    <n v="-1"/>
    <n v="1"/>
    <n v="0.66"/>
    <s v="Medium"/>
    <s v="The Frontex arrangement strengthened operational border cooperation with the EU while raising concerns regarding migrant treatment."/>
    <s v="Council of the European Union"/>
    <s v="https://www.consilium.europa.eu/en/press/press-releases/2022/10/13/border-management-council-decides-to-sign-agreement-with-north-macedonia-on-frontex-operational-cooperation"/>
    <n v="5"/>
  </r>
  <r>
    <n v="13"/>
    <s v="North Macedonia"/>
    <x v="103"/>
    <s v="Amendments to Civil Registration Law to prevent statelessness"/>
    <x v="2"/>
    <n v="1.98"/>
    <n v="3"/>
    <n v="1"/>
    <n v="0"/>
    <n v="1"/>
    <n v="1"/>
    <n v="0.66"/>
    <s v="Medium"/>
    <s v="The amendments reduced the risk of statelessness and improved legal protection and inclusion for vulnerable populations."/>
    <s v="European Network on Statelessness"/>
    <s v="https://index.statelessness.eu/news/north-macedonia-takes-positive-step-towards-ending-statelessness?language=en"/>
    <n v="4"/>
  </r>
  <r>
    <n v="8"/>
    <s v="Montenegro"/>
    <x v="35"/>
    <s v="Government of Montenegro adopted the Action Plan"/>
    <x v="2"/>
    <n v="0.66"/>
    <n v="2"/>
    <n v="1"/>
    <n v="0"/>
    <n v="0"/>
    <n v="1"/>
    <n v="0.33"/>
    <s v="Low"/>
    <s v="The Action Plan improved Montenegro’s institutional preparedness for migration management and supported cooperation with EU migration frameworks."/>
    <s v="Parliament of Montenegro"/>
    <s v="http://arhiva.skupstina.me/images/dokumenti/biblioteka-i-istrazivanje/2017/17.pdf"/>
    <n v="4"/>
  </r>
  <r>
    <n v="8"/>
    <s v="Montenegro"/>
    <x v="104"/>
    <s v="Montenegro Asylum Law"/>
    <x v="2"/>
    <n v="1.98"/>
    <n v="3"/>
    <n v="1"/>
    <n v="0"/>
    <n v="1"/>
    <n v="1"/>
    <n v="0.66"/>
    <s v="Medium"/>
    <s v="The asylum law strengthened the legal protection framework for asylum seekers and aligned Montenegro more closely with EU standards."/>
    <s v="Refworld (UNHCR)"/>
    <s v="https://www.refworld.org/legal/legislation/natlegbod/2016/en/104945"/>
    <n v="3"/>
  </r>
  <r>
    <n v="8"/>
    <s v="Montenegro"/>
    <x v="105"/>
    <s v="Law on foreigners"/>
    <x v="2"/>
    <n v="0.66"/>
    <n v="2"/>
    <n v="1"/>
    <n v="0"/>
    <n v="0"/>
    <n v="1"/>
    <n v="0.33"/>
    <s v="Low"/>
    <s v="The Law on Foreigners improved regulation of migration and residence procedures while strengthening legislative alignment with EU requirements."/>
    <s v="Council of Europe"/>
    <s v="https://www.coe.int/en/web/migration-and-refugees/-/montenegro-law-on-foreigners"/>
    <n v="3"/>
  </r>
  <r>
    <n v="8"/>
    <s v="Montenegro"/>
    <x v="106"/>
    <s v="Adoption of the Strategy on Migration and Reintegration of Returnees"/>
    <x v="2"/>
    <n v="0.66"/>
    <n v="2"/>
    <n v="1"/>
    <n v="0"/>
    <n v="0"/>
    <n v="1"/>
    <n v="0.33"/>
    <s v="Low"/>
    <s v="The migration and reintegration strategy provided a long-term framework for migration governance and returnee reintegration policies."/>
    <s v="Government of Montenegro"/>
    <s v="https://www.gov.me/en/documents/15ef985b-eddb-4a41-a58a-63fee7e8455c"/>
    <n v="4"/>
  </r>
  <r>
    <n v="8"/>
    <s v="Montenegro"/>
    <x v="107"/>
    <s v="Agreement with Frontex"/>
    <x v="1"/>
    <n v="1.32"/>
    <n v="2"/>
    <n v="1"/>
    <n v="1"/>
    <n v="-1"/>
    <n v="1"/>
    <n v="0.66"/>
    <s v="Medium"/>
    <s v="The Frontex agreement strengthened operational border cooperation with the EU and enhanced Montenegro’s role in regional migration management."/>
    <s v="European Commission"/>
    <s v="https://enlargement.ec.europa.eu/news/border-management-eu-signs-status-agreement-montenegro-2023-05-16_en"/>
    <n v="4"/>
  </r>
  <r>
    <n v="5"/>
    <s v="Albania"/>
    <x v="108"/>
    <s v="Instruction of the Minister of Internal Affairs no. 293 on the treatment of aliens staying irregularly"/>
    <x v="2"/>
    <n v="0"/>
    <n v="0"/>
    <n v="1"/>
    <n v="0"/>
    <n v="-1"/>
    <n v="0"/>
    <n v="0.33"/>
    <s v="Low"/>
    <s v="The instruction standardized procedures for irregular migrants but introduced stricter controls that negatively affected migrant flexibility and access."/>
    <s v="Ministry of Interior (Albania)"/>
    <s v="https://mb.gov.al/wp-content/uploads/2024/10/EN-_Profili_i_Migracionit_2015-2.pdf"/>
    <n v="3"/>
  </r>
  <r>
    <n v="5"/>
    <s v="Albania"/>
    <x v="109"/>
    <s v="Albanian Parliament approved the law no. 74/2016, which amends law no. 108/2013 &quot;On Foreigners&quot;"/>
    <x v="2"/>
    <n v="0.66"/>
    <n v="2"/>
    <n v="1"/>
    <n v="0"/>
    <n v="0"/>
    <n v="1"/>
    <n v="0.33"/>
    <s v="Low"/>
    <s v="The amendments to the Law on Foreigners improved migration governance and strengthened alignment with EU legal frameworks."/>
    <s v="Mondaq"/>
    <s v="https://www.mondaq.com/work-visas/525182/legal-news-august-2016"/>
    <n v="4"/>
  </r>
  <r>
    <n v="5"/>
    <s v="Albania"/>
    <x v="110"/>
    <s v="Adoption of National Strategy on Migration and Action Plan 2019–2022"/>
    <x v="2"/>
    <n v="0.66"/>
    <n v="2"/>
    <n v="1"/>
    <n v="0"/>
    <n v="0"/>
    <n v="1"/>
    <n v="0.33"/>
    <s v="Low"/>
    <s v="The migration strategy established a long-term framework for migration governance and institutional coordination."/>
    <s v="International Organization for Migration"/>
    <s v="https://albania.iom.int/resources/national-strategy-migration-and-action-plan-2019-2022"/>
    <n v="3"/>
  </r>
  <r>
    <n v="5"/>
    <s v="Albania"/>
    <x v="111"/>
    <s v="Law on Citizenship"/>
    <x v="2"/>
    <n v="0.66"/>
    <n v="2"/>
    <n v="1"/>
    <n v="0"/>
    <n v="0"/>
    <n v="1"/>
    <n v="0.33"/>
    <s v="Low"/>
    <s v="The citizenship law modernized nationality procedures and improved Albania’s legislative alignment with European standards."/>
    <s v="Refworld (UNHCR)"/>
    <s v="https://www.refworld.org/legal/legislation/natlegbod/2020/en/123407"/>
    <n v="3"/>
  </r>
  <r>
    <n v="5"/>
    <s v="Albania"/>
    <x v="112"/>
    <s v="Law on Asylum"/>
    <x v="2"/>
    <n v="3"/>
    <n v="3"/>
    <n v="1"/>
    <n v="0"/>
    <n v="1"/>
    <n v="1"/>
    <n v="1"/>
    <s v="High"/>
    <s v="The asylum law significantly strengthened the legal protection framework for asylum seekers and aligned Albania with EU and international standards."/>
    <s v="Refworld (UNHCR)"/>
    <s v="https://www.refworld.org/legal/legislation/natlegbod/2021/en/123556"/>
    <n v="3"/>
  </r>
  <r>
    <n v="5"/>
    <s v="Albania"/>
    <x v="113"/>
    <s v="Albania signs new Status Agreement with Frontex"/>
    <x v="1"/>
    <n v="1.32"/>
    <n v="2"/>
    <n v="1"/>
    <n v="1"/>
    <n v="-1"/>
    <n v="1"/>
    <n v="0.66"/>
    <s v="Medium"/>
    <s v="The Frontex agreement enhanced operational cooperation with the EU and strengthened Albania’s role in regional border management."/>
    <s v="EU Monitor"/>
    <s v="https://www.eumonitor.eu/9353000/1/j4nvhdfdk3hydzq_j9vvik7m1c3gyxp/vmizb35vhqy3"/>
    <n v="4"/>
  </r>
  <r>
    <n v="5"/>
    <s v="Albania"/>
    <x v="114"/>
    <s v="Albania installs British-funded cameras along its border"/>
    <x v="0"/>
    <n v="0.33"/>
    <n v="1"/>
    <n v="1"/>
    <n v="0"/>
    <n v="-1"/>
    <n v="1"/>
    <n v="0.33"/>
    <s v="Low"/>
    <s v="The installation of surveillance cameras strengthened border monitoring and irregular migration control but increased securitization of migration management."/>
    <s v="Associated Press"/>
    <s v="https://apnews.com/article/albania-britain-illegal-migration-19e335a01efd7463072da5e8823e3c20"/>
    <n v="8"/>
  </r>
  <r>
    <n v="5"/>
    <s v="Albania"/>
    <x v="115"/>
    <s v="Italian migration centres open in Albania under controversial deal"/>
    <x v="1"/>
    <n v="-3"/>
    <n v="-3"/>
    <n v="0"/>
    <n v="-1"/>
    <n v="-1"/>
    <n v="-1"/>
    <n v="1"/>
    <s v="High"/>
    <s v="The agreement to host Italian migration centres generated strong political and human-rights criticism, affecting migrants and Albania’s international image."/>
    <s v="The Guardian"/>
    <s v="https://www.theguardian.com/world/2024/oct/11/italy-migration-centres-open-albania-controversial-deal"/>
    <n v="6"/>
  </r>
  <r>
    <n v="9"/>
    <s v="Kosovo"/>
    <x v="116"/>
    <s v="Stabilization and Association Agreement (SAA) between Kosovo and EU enters into force"/>
    <x v="2"/>
    <n v="1.32"/>
    <n v="2"/>
    <n v="1"/>
    <n v="0"/>
    <n v="0"/>
    <n v="1"/>
    <n v="0.66"/>
    <s v="Medium"/>
    <s v="Strengthened Kosovo’s cooperation and alignment with EU migration and governance standards, improving institutional coordination and policy harmonization."/>
    <s v="Assembly of Kosovo"/>
    <s v="https://www.kuvendikosoves.org/eng/european-union-integration-process/"/>
    <n v="3"/>
  </r>
  <r>
    <n v="9"/>
    <s v="Kosovo"/>
    <x v="79"/>
    <s v="Regulation (MIA) No. 04/2018 on operation of the detention center for foreigners"/>
    <x v="2"/>
    <n v="0"/>
    <n v="0"/>
    <n v="1"/>
    <n v="0"/>
    <n v="-1"/>
    <n v="0"/>
    <n v="0.33"/>
    <s v="Low"/>
    <s v="Primarily administrative in nature, with limited broader regional impact, though it affected detention management and migrant treatment procedures."/>
    <s v="Republic of Kosovo"/>
    <s v="https://www.ecoi.net/en/file/local/2044747/601aaf494.pdf"/>
    <n v="3"/>
  </r>
  <r>
    <n v="9"/>
    <s v="Kosovo"/>
    <x v="117"/>
    <s v="Law No. 06/L-026 on Asylum"/>
    <x v="2"/>
    <n v="3"/>
    <n v="3"/>
    <n v="1"/>
    <n v="0"/>
    <n v="1"/>
    <n v="1"/>
    <n v="1"/>
    <s v="High"/>
    <s v="Significantly improved Kosovo’s asylum framework and legal protections for asylum seekers in line with international and EU standards."/>
    <s v="Official Gazette of Kosovo"/>
    <s v="https://gzk.rks-gov.net/ActDetail.aspx?ActID=16389"/>
    <n v="3"/>
  </r>
  <r>
    <n v="9"/>
    <s v="Kosovo"/>
    <x v="118"/>
    <s v="Regulation (GRK) No. 09/2019 on Integration of Foreigners"/>
    <x v="2"/>
    <n v="1.98"/>
    <n v="3"/>
    <n v="1"/>
    <n v="0"/>
    <n v="1"/>
    <n v="1"/>
    <n v="0.66"/>
    <s v="Medium"/>
    <s v="Enhanced integration policies and institutional support for foreigners, improving long-term inclusion mechanisms."/>
    <s v="Refworld (UNHCR)"/>
    <s v="https://www.refworld.org/legal/legislation/natlegbod/2019/en/123452?prevPage=/node/123452"/>
    <n v="4"/>
  </r>
  <r>
    <n v="9"/>
    <s v="Kosovo"/>
    <x v="119"/>
    <s v="Kosovo adopts the Strategy on Migration 2021-2025"/>
    <x v="2"/>
    <n v="1.32"/>
    <n v="2"/>
    <n v="1"/>
    <n v="0"/>
    <n v="0"/>
    <n v="1"/>
    <n v="0.66"/>
    <s v="Medium"/>
    <s v="Strengthened strategic migration governance and policy coordination while supporting closer alignment with EU migration priorities."/>
    <s v="Ministry of Internal Affairs (Kosovo)"/>
    <s v="https://mpb.rks-gov.net/Uploads/Documents/Pdf/EN/378/Strategy-on-Migration-2021-2025-anglisht.pdf"/>
    <n v="3"/>
  </r>
  <r>
    <n v="2"/>
    <s v="Hungary"/>
    <x v="120"/>
    <s v="Hungary suspends key EU asylum rule"/>
    <x v="1"/>
    <n v="-3"/>
    <n v="-3"/>
    <n v="0"/>
    <n v="-1"/>
    <n v="-1"/>
    <n v="-1"/>
    <n v="1"/>
    <s v="High"/>
    <s v="Suspending the EU asylum transfer rule undermined EU asylum cooperation and increased tensions regarding responsibility-sharing."/>
    <s v="BBC"/>
    <s v="https://www.bbc.com/news/world-europe-33244800"/>
    <n v="7"/>
  </r>
  <r>
    <n v="2"/>
    <s v="Hungary"/>
    <x v="75"/>
    <s v="Completion of border fence with Serbia, Enacts tough new laws"/>
    <x v="0"/>
    <n v="-2"/>
    <n v="-2"/>
    <n v="1"/>
    <n v="-1"/>
    <n v="-1"/>
    <n v="-1"/>
    <n v="1"/>
    <s v="High"/>
    <s v="The Serbian border fence and restrictive laws significantly reduced irregular crossings while negatively affecting migrant access and regional cooperation."/>
    <s v="International Business Times"/>
    <s v="https://www.ibtimes.com/european-refugee-crisis-hungary-enacts-tough-new-laws-closes-key-border-crossing-2096891"/>
    <n v="5"/>
  </r>
  <r>
    <n v="2"/>
    <s v="Hungary"/>
    <x v="121"/>
    <s v="Hungary seals its 216-mile border with Croatia after completion of a fence"/>
    <x v="0"/>
    <n v="-2"/>
    <n v="-2"/>
    <n v="1"/>
    <n v="-1"/>
    <n v="-1"/>
    <n v="-1"/>
    <n v="1"/>
    <s v="High"/>
    <s v="The closure of the Croatian border redirected migration routes across the Western Balkans and worsened conditions for migrants."/>
    <s v="The New York Times"/>
    <s v="https://www.nytimes.com/2015/10/17/world/europe/hungary-croatia-refugees-migrants.html?_r=1"/>
    <n v="8"/>
  </r>
  <r>
    <n v="2"/>
    <s v="Hungary"/>
    <x v="122"/>
    <s v="Policy allowing police to push back migrants"/>
    <x v="2"/>
    <n v="-2"/>
    <n v="-2"/>
    <n v="1"/>
    <n v="-1"/>
    <n v="-1"/>
    <n v="-1"/>
    <n v="1"/>
    <s v="High"/>
    <s v="The pushback policy strengthened border enforcement but generated substantial criticism regarding violations of asylum rights and EU norms."/>
    <s v="International Organization for Migration"/>
    <s v="https://hungary.iom.int/european-migration-crisis-and-hungary"/>
    <n v="5"/>
  </r>
  <r>
    <n v="2"/>
    <s v="Hungary"/>
    <x v="109"/>
    <s v="Hungary deploys 10,000 soldiers and police to push migrants back over border into Serbia"/>
    <x v="0"/>
    <n v="-2"/>
    <n v="-2"/>
    <n v="1"/>
    <n v="-1"/>
    <n v="-1"/>
    <n v="-1"/>
    <n v="1"/>
    <s v="High"/>
    <s v="The deployment of soldiers and police intensified border securitization and further restricted migrant access to asylum procedures."/>
    <s v="BBC"/>
    <s v="https://www.bbc.com/news/world-europe-36786438"/>
    <n v="6"/>
  </r>
  <r>
    <n v="2"/>
    <s v="Hungary"/>
    <x v="123"/>
    <s v="Hungarian referendum rejects EU migrant quotas with 98.36% &quot;No&quot; votes"/>
    <x v="2"/>
    <n v="-1.32"/>
    <n v="-2"/>
    <n v="0"/>
    <n v="-1"/>
    <n v="0"/>
    <n v="-1"/>
    <n v="0.66"/>
    <s v="Medium"/>
    <s v="The referendum reinforced Hungary’s opposition to EU relocation quotas and deepened political tensions with EU institutions."/>
    <s v="BBC"/>
    <s v="https://www.bbc.com/news/world-europe-37528325"/>
    <n v="6"/>
  </r>
  <r>
    <n v="2"/>
    <s v="Hungary"/>
    <x v="124"/>
    <s v="Hungarian Parliament adopted comprehensive amendments to five different Hungarian asylum laws"/>
    <x v="2"/>
    <n v="-2"/>
    <n v="-2"/>
    <n v="1"/>
    <n v="-1"/>
    <n v="-1"/>
    <n v="-1"/>
    <n v="1"/>
    <s v="High"/>
    <s v="The asylum law amendments institutionalized restrictive asylum procedures and significantly limited migrant protections."/>
    <s v="Amnesty International"/>
    <s v="https://www.amnesty.org/fr/wp-content/uploads/2021/05/EUR2758552017ENGLISH.pdf"/>
    <n v="4"/>
  </r>
  <r>
    <n v="2"/>
    <s v="Hungary"/>
    <x v="125"/>
    <s v="Hungary passes anti-immigrant 'Stop Soros' laws"/>
    <x v="2"/>
    <n v="-0.66"/>
    <n v="-1"/>
    <n v="1"/>
    <n v="0"/>
    <n v="-1"/>
    <n v="-1"/>
    <n v="0.66"/>
    <s v="Medium"/>
    <s v="The “Stop Soros” legislation increased restrictions on migration-related civil society activities and drew criticism from EU institutions."/>
    <s v="The Guardian"/>
    <s v="https://www.theguardian.com/world/2018/jun/20/hungary-passes-anti-immigrant-stop-soros-laws"/>
    <n v="6"/>
  </r>
  <r>
    <n v="2"/>
    <s v="Hungary"/>
    <x v="126"/>
    <s v="State of danger declared due to Covid (keeps extending from 2015)"/>
    <x v="3"/>
    <n v="-1.32"/>
    <n v="-2"/>
    <n v="0"/>
    <n v="-1"/>
    <n v="-1"/>
    <n v="0"/>
    <n v="0.66"/>
    <s v="Medium"/>
    <s v="COVID-19 emergency measures further restricted asylum access and movement while reinforcing existing border controls."/>
    <s v="Hungarian Helsinki Committee"/>
    <s v="https://helsinki.hu/en/wp-content/uploads/sites/2/2024/04/HHC_Hungary_states_of_exception_20240402.pdf"/>
    <n v="4"/>
  </r>
  <r>
    <n v="2"/>
    <s v="Hungary"/>
    <x v="127"/>
    <s v="Hungary: Abolishment of Transit Zone Following CJEU Ruling"/>
    <x v="2"/>
    <n v="-0.66"/>
    <n v="-1"/>
    <n v="-1"/>
    <n v="0"/>
    <n v="0"/>
    <n v="0"/>
    <n v="0.66"/>
    <s v="Medium"/>
    <s v="The abolition of transit zones slightly improved compliance with EU legal rulings but did not fundamentally liberalize migration policy."/>
    <s v="European Council on Refugees and Exiles (ECRE)"/>
    <s v="https://ecre.org/hungary-abolishment-of-transit-zone-following-cjeu-ruling/"/>
    <n v="5"/>
  </r>
  <r>
    <n v="2"/>
    <s v="Hungary"/>
    <x v="119"/>
    <s v="Frontex Operations Suspended"/>
    <x v="1"/>
    <n v="-3"/>
    <n v="-3"/>
    <n v="-1"/>
    <n v="0"/>
    <n v="-1"/>
    <n v="-1"/>
    <n v="1"/>
    <s v="High"/>
    <s v="The suspension of Frontex operations reflected serious EU concerns regarding Hungary’s migration and asylum practices."/>
    <s v="European Union Agency for Fundamental Rights (FRA)"/>
    <s v="https://fra.europa.eu/sites/default/files/fra_uploads/fra-2021-migration-bulletin-2_en.pdf"/>
    <n v="7"/>
  </r>
  <r>
    <n v="2"/>
    <s v="Hungary"/>
    <x v="128"/>
    <s v="Hungary’s immigration reforms"/>
    <x v="2"/>
    <n v="-1.32"/>
    <n v="-2"/>
    <n v="0"/>
    <n v="0"/>
    <n v="-1"/>
    <n v="-1"/>
    <n v="0.66"/>
    <s v="Medium"/>
    <s v="The immigration reforms tightened labour migration and residence conditions, reducing access for foreign workers and migrants."/>
    <s v="Travelobiz"/>
    <s v="https://travelobiz.com/hungary-immigration-updates-2025-guest-worker-limits-new-exams/"/>
    <n v="5"/>
  </r>
  <r>
    <n v="2"/>
    <s v="Hungary"/>
    <x v="129"/>
    <s v="Hungary rejects EU's migration pact"/>
    <x v="1"/>
    <n v="-1.32"/>
    <n v="-2"/>
    <n v="0"/>
    <n v="-1"/>
    <n v="0"/>
    <n v="-1"/>
    <n v="0.66"/>
    <s v="Medium"/>
    <s v="Rejecting the EU Migration Pact reinforced Hungary’s sovereigntist migration stance and increased tensions with EU migration policy objectives."/>
    <s v="About Hungary"/>
    <s v="https://abouthungary.hu/news-in-brief/state-secretary-hungary-rejects-eu-s-migration-pact-because-it-goes-against-national-interests"/>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66D73A-36D7-4389-A714-A01AFFC603B9}" name="PivotTable_Croatia"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14:B24" firstHeaderRow="1" firstDataRow="1" firstDataCol="1"/>
  <pivotFields count="20">
    <pivotField showAll="0"/>
    <pivotField showAll="0"/>
    <pivotField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items>
    </pivotField>
  </pivotFields>
  <rowFields count="1">
    <field x="19"/>
  </rowFields>
  <rowItems count="10">
    <i>
      <x v="1"/>
    </i>
    <i>
      <x v="2"/>
    </i>
    <i>
      <x v="4"/>
    </i>
    <i>
      <x v="5"/>
    </i>
    <i>
      <x v="6"/>
    </i>
    <i>
      <x v="8"/>
    </i>
    <i>
      <x v="9"/>
    </i>
    <i>
      <x v="10"/>
    </i>
    <i>
      <x v="11"/>
    </i>
    <i t="grand">
      <x/>
    </i>
  </rowItems>
  <colItems count="1">
    <i/>
  </colItems>
  <dataFields count="1">
    <dataField name="Rating (SUM)"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AF2A8B-B59B-47B2-99A8-F460B3DBAC7C}" name="PivotTable_Bosnia"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17:B27" firstHeaderRow="1" firstDataRow="1" firstDataCol="1"/>
  <pivotFields count="20">
    <pivotField showAll="0"/>
    <pivotField showAll="0"/>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3">
        <item sd="0" x="0"/>
        <item sd="0" x="1"/>
        <item sd="0" x="2"/>
        <item sd="0" x="3"/>
        <item sd="0" x="4"/>
        <item sd="0" x="5"/>
        <item sd="0" x="6"/>
        <item sd="0" x="7"/>
        <item sd="0" x="8"/>
        <item sd="0" x="9"/>
        <item sd="0" x="10"/>
        <item sd="0" x="11"/>
        <item t="default"/>
      </items>
    </pivotField>
  </pivotFields>
  <rowFields count="1">
    <field x="19"/>
  </rowFields>
  <rowItems count="10">
    <i>
      <x v="1"/>
    </i>
    <i>
      <x v="2"/>
    </i>
    <i>
      <x v="3"/>
    </i>
    <i>
      <x v="4"/>
    </i>
    <i>
      <x v="6"/>
    </i>
    <i>
      <x v="7"/>
    </i>
    <i>
      <x v="8"/>
    </i>
    <i>
      <x v="9"/>
    </i>
    <i>
      <x v="10"/>
    </i>
    <i t="grand">
      <x/>
    </i>
  </rowItems>
  <colItems count="1">
    <i/>
  </colItems>
  <dataFields count="1">
    <dataField name="Rating (SUM)"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C02C5A-15F3-4EB0-A7BB-A896EE6A525E}" name="PivotTable_Serbia"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14:B21" firstHeaderRow="1" firstDataRow="1" firstDataCol="1"/>
  <pivotFields count="20">
    <pivotField showAll="0"/>
    <pivotField showAll="0"/>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items>
    </pivotField>
  </pivotFields>
  <rowFields count="1">
    <field x="19"/>
  </rowFields>
  <rowItems count="7">
    <i>
      <x v="1"/>
    </i>
    <i>
      <x v="4"/>
    </i>
    <i>
      <x v="6"/>
    </i>
    <i>
      <x v="9"/>
    </i>
    <i>
      <x v="10"/>
    </i>
    <i>
      <x v="11"/>
    </i>
    <i t="grand">
      <x/>
    </i>
  </rowItems>
  <colItems count="1">
    <i/>
  </colItems>
  <dataFields count="1">
    <dataField name="Rating (SUM)"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F36563-B6D1-4659-93B4-0F274FBE24FE}" name="PivotTable_Macedonia"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14:B20" firstHeaderRow="1" firstDataRow="1" firstDataCol="1"/>
  <pivotFields count="20">
    <pivotField showAll="0"/>
    <pivotField showAll="0"/>
    <pivotField numFmtId="14" showAll="0">
      <items count="12">
        <item x="0"/>
        <item x="1"/>
        <item x="2"/>
        <item x="3"/>
        <item x="4"/>
        <item x="5"/>
        <item x="6"/>
        <item x="7"/>
        <item x="8"/>
        <item x="9"/>
        <item x="1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1">
    <field x="19"/>
  </rowFields>
  <rowItems count="6">
    <i>
      <x v="1"/>
    </i>
    <i>
      <x v="4"/>
    </i>
    <i>
      <x v="6"/>
    </i>
    <i>
      <x v="8"/>
    </i>
    <i>
      <x v="9"/>
    </i>
    <i t="grand">
      <x/>
    </i>
  </rowItems>
  <colItems count="1">
    <i/>
  </colItems>
  <dataFields count="1">
    <dataField name="Rating (SUM)"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09AB9D-F434-446E-8420-5AA205F5167F}" name="PivotTable_Montenegro"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14:B20" firstHeaderRow="1" firstDataRow="1" firstDataCol="1"/>
  <pivotFields count="20">
    <pivotField showAll="0"/>
    <pivotField showAll="0"/>
    <pivotField numFmtId="14" showAll="0">
      <items count="6">
        <item x="0"/>
        <item x="1"/>
        <item x="2"/>
        <item x="3"/>
        <item x="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1">
    <field x="19"/>
  </rowFields>
  <rowItems count="6">
    <i>
      <x v="1"/>
    </i>
    <i>
      <x v="2"/>
    </i>
    <i>
      <x v="4"/>
    </i>
    <i>
      <x v="7"/>
    </i>
    <i>
      <x v="9"/>
    </i>
    <i t="grand">
      <x/>
    </i>
  </rowItems>
  <colItems count="1">
    <i/>
  </colItems>
  <dataFields count="1">
    <dataField name="Rating (SUM)"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0800A5-E073-4899-8577-30085C9F9D65}" name="PivotTable_Albania"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14:B21" firstHeaderRow="1" firstDataRow="1" firstDataCol="1"/>
  <pivotFields count="20">
    <pivotField showAll="0"/>
    <pivotField showAll="0"/>
    <pivotField numFmtId="14" showAll="0">
      <items count="9">
        <item x="0"/>
        <item x="1"/>
        <item x="2"/>
        <item x="3"/>
        <item x="4"/>
        <item x="5"/>
        <item x="6"/>
        <item x="7"/>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1">
    <field x="19"/>
  </rowFields>
  <rowItems count="7">
    <i>
      <x v="1"/>
    </i>
    <i>
      <x v="4"/>
    </i>
    <i>
      <x v="5"/>
    </i>
    <i>
      <x v="6"/>
    </i>
    <i>
      <x v="8"/>
    </i>
    <i>
      <x v="9"/>
    </i>
    <i t="grand">
      <x/>
    </i>
  </rowItems>
  <colItems count="1">
    <i/>
  </colItems>
  <dataFields count="1">
    <dataField name="Rating (SUM)"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9ECE02-A855-4402-9F83-9AC4B8F1FC0E}" name="PivotTable_Kosovo"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14:B19" firstHeaderRow="1" firstDataRow="1" firstDataCol="1"/>
  <pivotFields count="20">
    <pivotField showAll="0"/>
    <pivotField showAll="0"/>
    <pivotField numFmtId="14" showAll="0">
      <items count="6">
        <item x="0"/>
        <item x="1"/>
        <item x="2"/>
        <item x="3"/>
        <item x="4"/>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1">
    <field x="19"/>
  </rowFields>
  <rowItems count="5">
    <i>
      <x v="1"/>
    </i>
    <i>
      <x v="3"/>
    </i>
    <i>
      <x v="4"/>
    </i>
    <i>
      <x v="6"/>
    </i>
    <i t="grand">
      <x/>
    </i>
  </rowItems>
  <colItems count="1">
    <i/>
  </colItems>
  <dataFields count="1">
    <dataField name="Rating (SUM)"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D922A8-2521-4E3E-9FDD-0D061328EE07}" name="PivotTable_Sloveni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14:B26" firstHeaderRow="1" firstDataRow="1" firstDataCol="1"/>
  <pivotFields count="20">
    <pivotField showAll="0"/>
    <pivotField showAll="0"/>
    <pivotField numFmtId="14" showAll="0">
      <items count="32">
        <item x="0"/>
        <item x="1"/>
        <item x="2"/>
        <item x="3"/>
        <item x="4"/>
        <item x="5"/>
        <item x="6"/>
        <item x="7"/>
        <item x="8"/>
        <item x="9"/>
        <item x="10"/>
        <item x="11"/>
        <item x="12"/>
        <item x="13"/>
        <item x="14"/>
        <item x="15"/>
        <item x="16"/>
        <item x="17"/>
        <item x="18"/>
        <item x="19"/>
        <item x="20"/>
        <item x="21"/>
        <item x="22"/>
        <item x="23"/>
        <item x="24"/>
        <item x="29"/>
        <item x="25"/>
        <item x="26"/>
        <item x="27"/>
        <item x="28"/>
        <item x="30"/>
        <item t="default"/>
      </items>
    </pivotField>
    <pivotField showAll="0"/>
    <pivotField showAll="0"/>
    <pivotField dataField="1" showAll="0"/>
    <pivotField showAll="0"/>
    <pivotField showAll="0"/>
    <pivotField showAll="0"/>
    <pivotField showAll="0"/>
    <pivotField showAll="0"/>
    <pivotField numFmtId="43"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items>
    </pivotField>
  </pivotFields>
  <rowFields count="1">
    <field x="19"/>
  </rowFields>
  <rowItems count="12">
    <i>
      <x v="1"/>
    </i>
    <i>
      <x v="2"/>
    </i>
    <i>
      <x v="3"/>
    </i>
    <i>
      <x v="4"/>
    </i>
    <i>
      <x v="5"/>
    </i>
    <i>
      <x v="6"/>
    </i>
    <i>
      <x v="7"/>
    </i>
    <i>
      <x v="8"/>
    </i>
    <i>
      <x v="9"/>
    </i>
    <i>
      <x v="10"/>
    </i>
    <i>
      <x v="11"/>
    </i>
    <i t="grand">
      <x/>
    </i>
  </rowItems>
  <colItems count="1">
    <i/>
  </colItems>
  <dataFields count="1">
    <dataField name="Rating (SUM)"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CD0B93-2F6E-46BE-891F-701F092F9896}" name="PivotTable_Hungary"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A14:B22" firstHeaderRow="1" firstDataRow="1" firstDataCol="1"/>
  <pivotFields count="20">
    <pivotField showAll="0"/>
    <pivotField showAll="0"/>
    <pivotField numFmtId="14" showAll="0">
      <items count="14">
        <item x="0"/>
        <item x="1"/>
        <item x="2"/>
        <item x="3"/>
        <item x="4"/>
        <item x="5"/>
        <item x="6"/>
        <item x="7"/>
        <item x="8"/>
        <item x="9"/>
        <item x="10"/>
        <item x="11"/>
        <item x="1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items>
    </pivotField>
  </pivotFields>
  <rowFields count="1">
    <field x="19"/>
  </rowFields>
  <rowItems count="8">
    <i>
      <x v="1"/>
    </i>
    <i>
      <x v="2"/>
    </i>
    <i>
      <x v="3"/>
    </i>
    <i>
      <x v="4"/>
    </i>
    <i>
      <x v="6"/>
    </i>
    <i>
      <x v="7"/>
    </i>
    <i>
      <x v="11"/>
    </i>
    <i t="grand">
      <x/>
    </i>
  </rowItems>
  <colItems count="1">
    <i/>
  </colItems>
  <dataFields count="1">
    <dataField name="Rating (SUM)"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A46001-A6F4-4B2B-A386-F1AFAA55F671}" name="Western_Balkans_Pivot_0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Year">
  <location ref="A30:B42" firstHeaderRow="1" firstDataRow="1" firstDataCol="1"/>
  <pivotFields count="20">
    <pivotField showAll="0"/>
    <pivotField showAll="0"/>
    <pivotField numFmtId="14" showAll="0">
      <items count="131">
        <item x="55"/>
        <item x="31"/>
        <item x="32"/>
        <item x="96"/>
        <item x="33"/>
        <item x="75"/>
        <item x="34"/>
        <item x="76"/>
        <item x="0"/>
        <item x="77"/>
        <item x="1"/>
        <item x="2"/>
        <item x="35"/>
        <item x="78"/>
        <item x="56"/>
        <item x="3"/>
        <item x="97"/>
        <item x="98"/>
        <item x="57"/>
        <item x="4"/>
        <item x="5"/>
        <item x="6"/>
        <item x="58"/>
        <item x="7"/>
        <item x="59"/>
        <item x="116"/>
        <item x="8"/>
        <item x="108"/>
        <item x="60"/>
        <item x="36"/>
        <item x="109"/>
        <item x="61"/>
        <item x="62"/>
        <item x="104"/>
        <item x="9"/>
        <item x="10"/>
        <item x="63"/>
        <item x="79"/>
        <item x="80"/>
        <item x="105"/>
        <item x="64"/>
        <item x="81"/>
        <item x="11"/>
        <item x="99"/>
        <item x="117"/>
        <item x="65"/>
        <item x="12"/>
        <item x="82"/>
        <item x="37"/>
        <item x="38"/>
        <item x="13"/>
        <item x="118"/>
        <item x="110"/>
        <item x="14"/>
        <item x="83"/>
        <item x="39"/>
        <item x="84"/>
        <item x="40"/>
        <item x="15"/>
        <item x="111"/>
        <item x="66"/>
        <item x="67"/>
        <item x="119"/>
        <item x="68"/>
        <item x="112"/>
        <item x="16"/>
        <item x="106"/>
        <item x="17"/>
        <item x="69"/>
        <item x="70"/>
        <item x="41"/>
        <item x="100"/>
        <item x="101"/>
        <item x="42"/>
        <item x="18"/>
        <item x="19"/>
        <item x="43"/>
        <item x="102"/>
        <item x="20"/>
        <item x="71"/>
        <item x="44"/>
        <item x="21"/>
        <item x="85"/>
        <item x="45"/>
        <item x="86"/>
        <item x="46"/>
        <item x="22"/>
        <item x="47"/>
        <item x="48"/>
        <item x="49"/>
        <item x="107"/>
        <item x="50"/>
        <item x="51"/>
        <item x="103"/>
        <item x="113"/>
        <item x="87"/>
        <item x="72"/>
        <item x="88"/>
        <item x="73"/>
        <item x="24"/>
        <item x="74"/>
        <item x="29"/>
        <item x="89"/>
        <item x="90"/>
        <item x="91"/>
        <item x="114"/>
        <item x="25"/>
        <item x="92"/>
        <item x="52"/>
        <item x="53"/>
        <item x="115"/>
        <item x="93"/>
        <item x="94"/>
        <item x="27"/>
        <item x="30"/>
        <item x="95"/>
        <item x="54"/>
        <item x="23"/>
        <item x="26"/>
        <item x="28"/>
        <item x="120"/>
        <item x="121"/>
        <item x="122"/>
        <item x="123"/>
        <item x="124"/>
        <item x="125"/>
        <item x="126"/>
        <item x="127"/>
        <item x="128"/>
        <item x="129"/>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axis="axisRow" showAll="0" defaultSubtotal="0">
      <items count="13">
        <item x="0"/>
        <item x="1"/>
        <item x="2"/>
        <item x="3"/>
        <item x="4"/>
        <item x="5"/>
        <item x="6"/>
        <item x="7"/>
        <item x="8"/>
        <item x="9"/>
        <item x="10"/>
        <item x="11"/>
        <item x="12"/>
      </items>
    </pivotField>
  </pivotFields>
  <rowFields count="1">
    <field x="19"/>
  </rowFields>
  <rowItems count="12">
    <i>
      <x v="1"/>
    </i>
    <i>
      <x v="2"/>
    </i>
    <i>
      <x v="3"/>
    </i>
    <i>
      <x v="4"/>
    </i>
    <i>
      <x v="5"/>
    </i>
    <i>
      <x v="6"/>
    </i>
    <i>
      <x v="7"/>
    </i>
    <i>
      <x v="8"/>
    </i>
    <i>
      <x v="9"/>
    </i>
    <i>
      <x v="10"/>
    </i>
    <i>
      <x v="11"/>
    </i>
    <i t="grand">
      <x/>
    </i>
  </rowItems>
  <colItems count="1">
    <i/>
  </colItems>
  <dataFields count="1">
    <dataField name="Policy Rating" fld="6"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616D18B-BBC0-4116-BD40-2919F4CBEA87}" name="Western_Balkans_Pivot_0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9" rowHeaderCaption="Year" colHeaderCaption="Category">
  <location ref="A3:F16" firstHeaderRow="1" firstDataRow="2" firstDataCol="1"/>
  <pivotFields count="20">
    <pivotField showAll="0"/>
    <pivotField showAll="0"/>
    <pivotField numFmtId="14" showAll="0">
      <items count="131">
        <item x="55"/>
        <item x="31"/>
        <item x="32"/>
        <item x="96"/>
        <item x="33"/>
        <item x="75"/>
        <item x="34"/>
        <item x="76"/>
        <item x="0"/>
        <item x="77"/>
        <item x="1"/>
        <item x="2"/>
        <item x="35"/>
        <item x="78"/>
        <item x="56"/>
        <item x="3"/>
        <item x="97"/>
        <item x="98"/>
        <item x="57"/>
        <item x="4"/>
        <item x="5"/>
        <item x="6"/>
        <item x="58"/>
        <item x="7"/>
        <item x="59"/>
        <item x="116"/>
        <item x="8"/>
        <item x="108"/>
        <item x="60"/>
        <item x="36"/>
        <item x="109"/>
        <item x="61"/>
        <item x="62"/>
        <item x="104"/>
        <item x="9"/>
        <item x="10"/>
        <item x="63"/>
        <item x="79"/>
        <item x="80"/>
        <item x="105"/>
        <item x="64"/>
        <item x="81"/>
        <item x="11"/>
        <item x="99"/>
        <item x="117"/>
        <item x="65"/>
        <item x="12"/>
        <item x="82"/>
        <item x="37"/>
        <item x="38"/>
        <item x="13"/>
        <item x="118"/>
        <item x="110"/>
        <item x="14"/>
        <item x="83"/>
        <item x="39"/>
        <item x="84"/>
        <item x="40"/>
        <item x="15"/>
        <item x="111"/>
        <item x="66"/>
        <item x="67"/>
        <item x="119"/>
        <item x="68"/>
        <item x="112"/>
        <item x="16"/>
        <item x="106"/>
        <item x="17"/>
        <item x="69"/>
        <item x="70"/>
        <item x="41"/>
        <item x="100"/>
        <item x="101"/>
        <item x="42"/>
        <item x="18"/>
        <item x="19"/>
        <item x="43"/>
        <item x="102"/>
        <item x="20"/>
        <item x="71"/>
        <item x="44"/>
        <item x="21"/>
        <item x="85"/>
        <item x="45"/>
        <item x="86"/>
        <item x="46"/>
        <item x="22"/>
        <item x="47"/>
        <item x="48"/>
        <item x="49"/>
        <item x="107"/>
        <item x="50"/>
        <item x="51"/>
        <item x="103"/>
        <item x="113"/>
        <item x="87"/>
        <item x="72"/>
        <item x="88"/>
        <item x="73"/>
        <item x="24"/>
        <item x="74"/>
        <item x="29"/>
        <item x="89"/>
        <item x="90"/>
        <item x="91"/>
        <item x="114"/>
        <item x="25"/>
        <item x="92"/>
        <item x="52"/>
        <item x="53"/>
        <item x="115"/>
        <item x="93"/>
        <item x="94"/>
        <item x="27"/>
        <item x="30"/>
        <item x="95"/>
        <item x="54"/>
        <item x="23"/>
        <item x="26"/>
        <item x="28"/>
        <item x="120"/>
        <item x="121"/>
        <item x="122"/>
        <item x="123"/>
        <item x="124"/>
        <item x="125"/>
        <item x="126"/>
        <item x="127"/>
        <item x="128"/>
        <item x="129"/>
        <item t="default"/>
      </items>
    </pivotField>
    <pivotField showAll="0"/>
    <pivotField axis="axisCol" dataField="1" showAll="0">
      <items count="6">
        <item x="0"/>
        <item x="3"/>
        <item x="1"/>
        <item x="2"/>
        <item h="1"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4">
        <item sd="0" x="0"/>
        <item x="1"/>
        <item x="2"/>
        <item x="3"/>
        <item x="4"/>
        <item x="5"/>
        <item x="6"/>
        <item x="7"/>
        <item x="8"/>
        <item x="9"/>
        <item x="10"/>
        <item x="11"/>
        <item sd="0" x="12"/>
        <item t="default"/>
      </items>
    </pivotField>
  </pivotFields>
  <rowFields count="1">
    <field x="19"/>
  </rowFields>
  <rowItems count="12">
    <i>
      <x v="1"/>
    </i>
    <i>
      <x v="2"/>
    </i>
    <i>
      <x v="3"/>
    </i>
    <i>
      <x v="4"/>
    </i>
    <i>
      <x v="5"/>
    </i>
    <i>
      <x v="6"/>
    </i>
    <i>
      <x v="7"/>
    </i>
    <i>
      <x v="8"/>
    </i>
    <i>
      <x v="9"/>
    </i>
    <i>
      <x v="10"/>
    </i>
    <i>
      <x v="11"/>
    </i>
    <i t="grand">
      <x/>
    </i>
  </rowItems>
  <colFields count="1">
    <field x="4"/>
  </colFields>
  <colItems count="5">
    <i>
      <x/>
    </i>
    <i>
      <x v="1"/>
    </i>
    <i>
      <x v="2"/>
    </i>
    <i>
      <x v="3"/>
    </i>
    <i t="grand">
      <x/>
    </i>
  </colItems>
  <dataFields count="1">
    <dataField name="Policy Table" fld="4" subtotal="count" baseField="0" baseItem="0"/>
  </dataFields>
  <chartFormats count="24">
    <chartFormat chart="42" format="0" series="1">
      <pivotArea type="data" outline="0" fieldPosition="0">
        <references count="2">
          <reference field="4294967294" count="1" selected="0">
            <x v="0"/>
          </reference>
          <reference field="19" count="1" selected="0">
            <x v="1"/>
          </reference>
        </references>
      </pivotArea>
    </chartFormat>
    <chartFormat chart="42" format="1" series="1">
      <pivotArea type="data" outline="0" fieldPosition="0">
        <references count="2">
          <reference field="4294967294" count="1" selected="0">
            <x v="0"/>
          </reference>
          <reference field="19" count="1" selected="0">
            <x v="2"/>
          </reference>
        </references>
      </pivotArea>
    </chartFormat>
    <chartFormat chart="42" format="2" series="1">
      <pivotArea type="data" outline="0" fieldPosition="0">
        <references count="2">
          <reference field="4294967294" count="1" selected="0">
            <x v="0"/>
          </reference>
          <reference field="19" count="1" selected="0">
            <x v="3"/>
          </reference>
        </references>
      </pivotArea>
    </chartFormat>
    <chartFormat chart="42" format="3" series="1">
      <pivotArea type="data" outline="0" fieldPosition="0">
        <references count="2">
          <reference field="4294967294" count="1" selected="0">
            <x v="0"/>
          </reference>
          <reference field="19" count="1" selected="0">
            <x v="4"/>
          </reference>
        </references>
      </pivotArea>
    </chartFormat>
    <chartFormat chart="42" format="4" series="1">
      <pivotArea type="data" outline="0" fieldPosition="0">
        <references count="2">
          <reference field="4294967294" count="1" selected="0">
            <x v="0"/>
          </reference>
          <reference field="19" count="1" selected="0">
            <x v="5"/>
          </reference>
        </references>
      </pivotArea>
    </chartFormat>
    <chartFormat chart="42" format="5" series="1">
      <pivotArea type="data" outline="0" fieldPosition="0">
        <references count="2">
          <reference field="4294967294" count="1" selected="0">
            <x v="0"/>
          </reference>
          <reference field="19" count="1" selected="0">
            <x v="6"/>
          </reference>
        </references>
      </pivotArea>
    </chartFormat>
    <chartFormat chart="42" format="6" series="1">
      <pivotArea type="data" outline="0" fieldPosition="0">
        <references count="2">
          <reference field="4294967294" count="1" selected="0">
            <x v="0"/>
          </reference>
          <reference field="19" count="1" selected="0">
            <x v="7"/>
          </reference>
        </references>
      </pivotArea>
    </chartFormat>
    <chartFormat chart="42" format="7" series="1">
      <pivotArea type="data" outline="0" fieldPosition="0">
        <references count="2">
          <reference field="4294967294" count="1" selected="0">
            <x v="0"/>
          </reference>
          <reference field="19" count="1" selected="0">
            <x v="8"/>
          </reference>
        </references>
      </pivotArea>
    </chartFormat>
    <chartFormat chart="42" format="8" series="1">
      <pivotArea type="data" outline="0" fieldPosition="0">
        <references count="2">
          <reference field="4294967294" count="1" selected="0">
            <x v="0"/>
          </reference>
          <reference field="19" count="1" selected="0">
            <x v="9"/>
          </reference>
        </references>
      </pivotArea>
    </chartFormat>
    <chartFormat chart="42" format="9" series="1">
      <pivotArea type="data" outline="0" fieldPosition="0">
        <references count="2">
          <reference field="4294967294" count="1" selected="0">
            <x v="0"/>
          </reference>
          <reference field="19" count="1" selected="0">
            <x v="10"/>
          </reference>
        </references>
      </pivotArea>
    </chartFormat>
    <chartFormat chart="42" format="10" series="1">
      <pivotArea type="data" outline="0" fieldPosition="0">
        <references count="2">
          <reference field="4294967294" count="1" selected="0">
            <x v="0"/>
          </reference>
          <reference field="19" count="1" selected="0">
            <x v="11"/>
          </reference>
        </references>
      </pivotArea>
    </chartFormat>
    <chartFormat chart="42" format="11" series="1">
      <pivotArea type="data" outline="0" fieldPosition="0">
        <references count="2">
          <reference field="4294967294" count="1" selected="0">
            <x v="0"/>
          </reference>
          <reference field="4" count="1" selected="0">
            <x v="0"/>
          </reference>
        </references>
      </pivotArea>
    </chartFormat>
    <chartFormat chart="42" format="12" series="1">
      <pivotArea type="data" outline="0" fieldPosition="0">
        <references count="2">
          <reference field="4294967294" count="1" selected="0">
            <x v="0"/>
          </reference>
          <reference field="4" count="1" selected="0">
            <x v="1"/>
          </reference>
        </references>
      </pivotArea>
    </chartFormat>
    <chartFormat chart="42" format="13" series="1">
      <pivotArea type="data" outline="0" fieldPosition="0">
        <references count="2">
          <reference field="4294967294" count="1" selected="0">
            <x v="0"/>
          </reference>
          <reference field="4" count="1" selected="0">
            <x v="2"/>
          </reference>
        </references>
      </pivotArea>
    </chartFormat>
    <chartFormat chart="42" format="14" series="1">
      <pivotArea type="data" outline="0" fieldPosition="0">
        <references count="2">
          <reference field="4294967294" count="1" selected="0">
            <x v="0"/>
          </reference>
          <reference field="4" count="1" selected="0">
            <x v="3"/>
          </reference>
        </references>
      </pivotArea>
    </chartFormat>
    <chartFormat chart="42" format="15" series="1">
      <pivotArea type="data" outline="0" fieldPosition="0">
        <references count="2">
          <reference field="4294967294" count="1" selected="0">
            <x v="0"/>
          </reference>
          <reference field="4" count="1" selected="0">
            <x v="4"/>
          </reference>
        </references>
      </pivotArea>
    </chartFormat>
    <chartFormat chart="61" format="16" series="1">
      <pivotArea type="data" outline="0" fieldPosition="0">
        <references count="2">
          <reference field="4294967294" count="1" selected="0">
            <x v="0"/>
          </reference>
          <reference field="4" count="1" selected="0">
            <x v="0"/>
          </reference>
        </references>
      </pivotArea>
    </chartFormat>
    <chartFormat chart="61" format="17" series="1">
      <pivotArea type="data" outline="0" fieldPosition="0">
        <references count="2">
          <reference field="4294967294" count="1" selected="0">
            <x v="0"/>
          </reference>
          <reference field="4" count="1" selected="0">
            <x v="1"/>
          </reference>
        </references>
      </pivotArea>
    </chartFormat>
    <chartFormat chart="61" format="18" series="1">
      <pivotArea type="data" outline="0" fieldPosition="0">
        <references count="2">
          <reference field="4294967294" count="1" selected="0">
            <x v="0"/>
          </reference>
          <reference field="4" count="1" selected="0">
            <x v="2"/>
          </reference>
        </references>
      </pivotArea>
    </chartFormat>
    <chartFormat chart="61" format="19" series="1">
      <pivotArea type="data" outline="0" fieldPosition="0">
        <references count="2">
          <reference field="4294967294" count="1" selected="0">
            <x v="0"/>
          </reference>
          <reference field="4" count="1" selected="0">
            <x v="3"/>
          </reference>
        </references>
      </pivotArea>
    </chartFormat>
    <chartFormat chart="62" format="20" series="1">
      <pivotArea type="data" outline="0" fieldPosition="0">
        <references count="2">
          <reference field="4294967294" count="1" selected="0">
            <x v="0"/>
          </reference>
          <reference field="4" count="1" selected="0">
            <x v="0"/>
          </reference>
        </references>
      </pivotArea>
    </chartFormat>
    <chartFormat chart="62" format="21" series="1">
      <pivotArea type="data" outline="0" fieldPosition="0">
        <references count="2">
          <reference field="4294967294" count="1" selected="0">
            <x v="0"/>
          </reference>
          <reference field="4" count="1" selected="0">
            <x v="1"/>
          </reference>
        </references>
      </pivotArea>
    </chartFormat>
    <chartFormat chart="62" format="22" series="1">
      <pivotArea type="data" outline="0" fieldPosition="0">
        <references count="2">
          <reference field="4294967294" count="1" selected="0">
            <x v="0"/>
          </reference>
          <reference field="4" count="1" selected="0">
            <x v="2"/>
          </reference>
        </references>
      </pivotArea>
    </chartFormat>
    <chartFormat chart="62" format="23" series="1">
      <pivotArea type="data" outline="0" fieldPosition="0">
        <references count="2">
          <reference field="4294967294" count="1" selected="0">
            <x v="0"/>
          </reference>
          <reference field="4" count="1" selected="0">
            <x v="3"/>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olicy_Date" xr10:uid="{FB2FB9AC-15BA-4848-A496-8F5741D36730}" sourceName="Years (Policy Date)">
  <pivotTables>
    <pivotTable tabId="28" name="Western_Balkans_Pivot_01"/>
  </pivotTables>
  <data>
    <tabular pivotCacheId="174687082">
      <items count="13">
        <i x="1" s="1"/>
        <i x="2" s="1"/>
        <i x="3" s="1"/>
        <i x="4" s="1"/>
        <i x="5" s="1"/>
        <i x="6" s="1"/>
        <i x="7" s="1"/>
        <i x="8" s="1"/>
        <i x="9" s="1"/>
        <i x="10" s="1"/>
        <i x="11" s="1"/>
        <i x="0" s="1" nd="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Policy Date)" xr10:uid="{4AC14B86-4853-4263-AE1B-AA315A0150CC}" cache="Slicer_Years__Policy_Date" caption="Years (Policy Date)"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226BC753-8831-44E5-899E-9B615FBC1E22}" name="Sources_Table" displayName="Sources_Table" ref="A1:C55" totalsRowShown="0" headerRowDxfId="221" dataDxfId="219" headerRowBorderDxfId="220" tableBorderDxfId="218" totalsRowBorderDxfId="217">
  <autoFilter ref="A1:C55" xr:uid="{226BC753-8831-44E5-899E-9B615FBC1E22}"/>
  <sortState xmlns:xlrd2="http://schemas.microsoft.com/office/spreadsheetml/2017/richdata2" ref="A2:B55">
    <sortCondition descending="1" ref="B1:B55"/>
  </sortState>
  <tableColumns count="3">
    <tableColumn id="1" xr3:uid="{48686BF9-2C4F-4996-B049-BE56F2387D8B}" name="SOURCE" dataDxfId="216"/>
    <tableColumn id="2" xr3:uid="{DAD73CF7-BB72-497A-8DDB-E07FD319340A}" name="NUMBER OF RECORDS USED" dataDxfId="215"/>
    <tableColumn id="3" xr3:uid="{BF87404C-382F-4975-9D1D-C8A5059D0A30}" name="SOURCE SITE" dataDxfId="21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408E20-EC2A-4BF5-B341-A3214FCFD2AE}" name="Croatia_Policies_Table" displayName="Croatia_Policies_Table" ref="A1:Q28" totalsRowShown="0" headerRowDxfId="243" dataDxfId="241" headerRowBorderDxfId="242" tableBorderDxfId="240" totalsRowBorderDxfId="239">
  <autoFilter ref="A1:Q28" xr:uid="{8F408E20-EC2A-4BF5-B341-A3214FCFD2AE}"/>
  <sortState xmlns:xlrd2="http://schemas.microsoft.com/office/spreadsheetml/2017/richdata2" ref="A2:P28">
    <sortCondition ref="C1:C28"/>
  </sortState>
  <tableColumns count="17">
    <tableColumn id="1" xr3:uid="{AF001304-41C0-476F-A287-EDB44B45CD94}" name="Country ID" dataDxfId="238"/>
    <tableColumn id="2" xr3:uid="{1BD93D1F-BD84-41F2-81AF-761D725ECB40}" name="Country" dataDxfId="237"/>
    <tableColumn id="3" xr3:uid="{23A2EB4A-56E9-4E04-9A1E-3B44F792E02A}" name="Date" dataDxfId="236"/>
    <tableColumn id="4" xr3:uid="{31E6F08A-EA0F-4F17-9A9F-F5B3A0C7AE0D}" name="Policy / Decision / Event" dataDxfId="235"/>
    <tableColumn id="6" xr3:uid="{C73509CF-0E3A-4FD2-870F-5B57D974DA09}" name="Category" dataDxfId="234"/>
    <tableColumn id="16" xr3:uid="{9C3F0948-8C79-46AD-AC23-2B8867A942C1}" name="Calculated Rating" dataDxfId="233">
      <calculatedColumnFormula>Croatia_Policies_Table[[#This Row],[Rating]]*Croatia_Policies_Table[[#This Row],[Impact Value]]</calculatedColumnFormula>
    </tableColumn>
    <tableColumn id="12" xr3:uid="{C40AE91D-508D-4BC6-8D5E-80972DBF6CF7}" name="Rating" dataDxfId="232"/>
    <tableColumn id="7" xr3:uid="{F0AED7DE-8286-4A29-B71A-1A98500DB981}" name="Impact on Country" dataDxfId="231"/>
    <tableColumn id="8" xr3:uid="{E10B990E-7282-4B94-A768-1A8AB53EE92C}" name="Impact on Other Countries" dataDxfId="230"/>
    <tableColumn id="9" xr3:uid="{566F555A-A489-409E-8BB7-1ACE31C2BBB5}" name="Impact on Migrants" dataDxfId="229"/>
    <tableColumn id="13" xr3:uid="{0CF96EBE-2E79-4A86-AE59-8116D2EE9A37}" name="Impact on EU Relations" dataDxfId="228"/>
    <tableColumn id="15" xr3:uid="{FC712CE1-524F-49DD-BCE6-6823823FACFE}" name="Impact Value" dataDxfId="227">
      <calculatedColumnFormula array="1">_xlfn.SWITCH(Croatia_Policies_Table[[#This Row],[Impact]], "High", 1, "Medium", 0.66, "Low", 0.33)</calculatedColumnFormula>
    </tableColumn>
    <tableColumn id="10" xr3:uid="{56EBCD2C-F231-4D1C-9E42-D72C9D88AB16}" name="Impact" dataDxfId="226"/>
    <tableColumn id="14" xr3:uid="{289DD21F-1C78-43CD-82A9-BE4B46F19AA6}" name="Impact Reasoning" dataDxfId="225"/>
    <tableColumn id="5" xr3:uid="{25E27104-D427-48BD-8415-D3D1F2697D06}" name="Source Name" dataDxfId="224"/>
    <tableColumn id="11" xr3:uid="{33ACD19A-98AC-435F-A095-ADAF3E0068DE}" name="Main Source Link" dataDxfId="223" dataCellStyle="Hyperlink"/>
    <tableColumn id="17" xr3:uid="{2E5E04F4-8967-40A5-B382-F27910B8E0BF}" name="Total Records Analysed" dataDxfId="222"/>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76B3C11-BC26-4635-9057-B78D3B889D27}" name="Croatia_Rating" displayName="Croatia_Rating" ref="A1:C12" totalsRowShown="0">
  <autoFilter ref="A1:C12" xr:uid="{F76B3C11-BC26-4635-9057-B78D3B889D27}"/>
  <tableColumns count="3">
    <tableColumn id="1" xr3:uid="{511EF1CD-0FD2-4890-801D-2211616B6733}" name="Year"/>
    <tableColumn id="2" xr3:uid="{8D6B4594-7F96-4C0E-9413-363BCFBCAB6F}" name="Rating Change"/>
    <tableColumn id="3" xr3:uid="{7228B6E8-DD89-4913-B9BB-910D1514BA58}" name="Rating Value"/>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FCE7A21-470C-475C-84DF-42CF20B5308D}" name="Bosnia_Policies_Table" displayName="Bosnia_Policies_Table" ref="A1:Q22" totalsRowShown="0" headerRowDxfId="213" dataDxfId="211" headerRowBorderDxfId="212" tableBorderDxfId="210">
  <autoFilter ref="A1:Q22" xr:uid="{9FCE7A21-470C-475C-84DF-42CF20B5308D}"/>
  <tableColumns count="17">
    <tableColumn id="1" xr3:uid="{A8A72F23-8B3F-47D8-8F3F-9530A586F694}" name="Country ID" dataDxfId="209"/>
    <tableColumn id="2" xr3:uid="{F04E6008-6F81-40C4-B96D-246D05E32A71}" name="Country" dataDxfId="208"/>
    <tableColumn id="3" xr3:uid="{90B4EA11-365B-4948-913E-8798BF425306}" name="Date" dataDxfId="207"/>
    <tableColumn id="4" xr3:uid="{86889B27-A952-4372-A0ED-6AC3D8026C94}" name="Policy / Decision / Event" dataDxfId="206"/>
    <tableColumn id="6" xr3:uid="{867A315B-2932-449C-8EEE-12991220DB15}" name="Category" dataDxfId="205"/>
    <tableColumn id="16" xr3:uid="{863BB6A9-F71B-4783-866D-C74E25B2E15F}" name="Calculated Rating" dataDxfId="204">
      <calculatedColumnFormula>Bosnia_Policies_Table[[#This Row],[Rating]]*Bosnia_Policies_Table[[#This Row],[Impact Value]]</calculatedColumnFormula>
    </tableColumn>
    <tableColumn id="13" xr3:uid="{35C5CF49-09C9-41E4-84F9-AE01DF0EAD96}" name="Rating" dataDxfId="203">
      <calculatedColumnFormula>SUM(Bosnia_Policies_Table[[#This Row],[Impact on Country]:[Impact on EU Relations]])</calculatedColumnFormula>
    </tableColumn>
    <tableColumn id="7" xr3:uid="{54ED7B98-431A-458F-8498-62A3ED9CC09F}" name="Impact on Country" dataDxfId="202"/>
    <tableColumn id="8" xr3:uid="{9A80C387-4E54-4E35-AB73-983688DBC503}" name="Impact on Other Countries" dataDxfId="201"/>
    <tableColumn id="9" xr3:uid="{7B8D6394-BE98-4AD8-8035-EA6079C989F5}" name="Impact on Migrants" dataDxfId="200"/>
    <tableColumn id="10" xr3:uid="{DE780FE5-45A5-4806-BBBB-69FBE3ECF003}" name="Impact on EU Relations" dataDxfId="199"/>
    <tableColumn id="15" xr3:uid="{7113D0D6-4555-466B-9549-211A26D26401}" name="Impact Value" dataDxfId="198">
      <calculatedColumnFormula array="1">_xlfn.SWITCH(Bosnia_Policies_Table[[#This Row],[Impact]], "High", 1, "Medium", 0.66, "Low", 0.33)</calculatedColumnFormula>
    </tableColumn>
    <tableColumn id="12" xr3:uid="{79C42D6D-0AC7-416A-B7FD-68BFDD2F54DB}" name="Impact" dataDxfId="197"/>
    <tableColumn id="14" xr3:uid="{46F9B287-26DC-4D0B-8B5E-E36B2BEE2539}" name="Impact Reasoning" dataDxfId="196"/>
    <tableColumn id="5" xr3:uid="{84338848-C350-43AA-BC73-2815FDBE3B7F}" name="Source Name" dataDxfId="195"/>
    <tableColumn id="11" xr3:uid="{E0C14575-40E1-480C-8034-E08C3F29608E}" name="Main Source Link" dataDxfId="194" dataCellStyle="Hyperlink"/>
    <tableColumn id="17" xr3:uid="{E6C5A066-0C3D-46F4-BB8D-E559AEBD2DB5}" name="Total Records Analysed" dataDxfId="193"/>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EF51194-4D8C-4989-8569-E7B39644E5E2}" name="Bosnia_Rating" displayName="Bosnia_Rating" ref="A4:C15" totalsRowShown="0">
  <autoFilter ref="A4:C15" xr:uid="{4EF51194-4D8C-4989-8569-E7B39644E5E2}"/>
  <tableColumns count="3">
    <tableColumn id="1" xr3:uid="{DB5993D6-8A2F-44D0-8049-25A8092AF79F}" name="Year"/>
    <tableColumn id="2" xr3:uid="{FC0D46FA-1269-4F81-8A5E-86CBCAC883E0}" name="Rating Change"/>
    <tableColumn id="3" xr3:uid="{FA251E55-FE51-43DB-B82A-E86BC7B372E9}" name="Rating Value"/>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A62A2D4-CFB5-47B8-BC78-62DB8566EBC2}" name="Serbia_Policies_Table" displayName="Serbia_Policies_Table" ref="A1:Q26" totalsRowShown="0" headerRowDxfId="192" dataDxfId="190" headerRowBorderDxfId="191" tableBorderDxfId="189">
  <autoFilter ref="A1:Q26" xr:uid="{1A62A2D4-CFB5-47B8-BC78-62DB8566EBC2}"/>
  <sortState xmlns:xlrd2="http://schemas.microsoft.com/office/spreadsheetml/2017/richdata2" ref="A2:P26">
    <sortCondition ref="C1:C26"/>
  </sortState>
  <tableColumns count="17">
    <tableColumn id="1" xr3:uid="{0BFC5499-F4E7-484A-9100-BAA3AC22C0B9}" name="Country ID" dataDxfId="188"/>
    <tableColumn id="2" xr3:uid="{EA885CE7-1F76-44ED-8FC3-368C19666EF3}" name="Country" dataDxfId="187"/>
    <tableColumn id="3" xr3:uid="{FC0FBF1C-DE74-4E37-A162-0E32F353A17A}" name="Date" dataDxfId="186"/>
    <tableColumn id="4" xr3:uid="{C130EA32-8DCE-40E3-81F6-41643FA44777}" name="Policy / Decision / Event" dataDxfId="185"/>
    <tableColumn id="6" xr3:uid="{7ED238E2-F714-4127-ADE0-B311794FDC6C}" name="Category" dataDxfId="184"/>
    <tableColumn id="17" xr3:uid="{21953BFB-BB1D-4D4A-92D4-4BF7913ECBBB}" name="Calculated Rating" dataDxfId="183">
      <calculatedColumnFormula>Serbia_Policies_Table[[#This Row],[Rating]]*Serbia_Policies_Table[[#This Row],[Impact Value]]</calculatedColumnFormula>
    </tableColumn>
    <tableColumn id="12" xr3:uid="{4AB9BC40-CB57-4ABE-ACCA-B691B6B4B3F1}" name="Rating" dataDxfId="182">
      <calculatedColumnFormula>SUM(Serbia_Policies_Table[[#This Row],[Impact on Country]:[Impact on EU Relations]])</calculatedColumnFormula>
    </tableColumn>
    <tableColumn id="7" xr3:uid="{071414E5-E267-4A8F-859D-C15962252054}" name="Impact on Country" dataDxfId="181"/>
    <tableColumn id="8" xr3:uid="{21EE28A9-582A-4977-B9A9-CA9CD3BF688A}" name="Impact on Other Countries" dataDxfId="180"/>
    <tableColumn id="9" xr3:uid="{9CC11CDE-A3CC-42AA-A146-39539F54CFF3}" name="Impact on Migrants" dataDxfId="179"/>
    <tableColumn id="10" xr3:uid="{DF16422E-DA9B-4192-A554-D2245E57485A}" name="Impact on EU Relations" dataDxfId="178"/>
    <tableColumn id="16" xr3:uid="{4F885E7F-8551-425C-9676-BF6F007FFA67}" name="Impact Value" dataDxfId="177">
      <calculatedColumnFormula array="1">_xlfn.SWITCH(Serbia_Policies_Table[[#This Row],[Impact]], "High", 1, "Medium", 0.66, "Low", 0.33)</calculatedColumnFormula>
    </tableColumn>
    <tableColumn id="13" xr3:uid="{CC9E2035-C180-4A4F-B9AA-C8675E21D05E}" name="Impact" dataDxfId="176"/>
    <tableColumn id="14" xr3:uid="{53608135-5E68-4C55-93FC-B367F804AEAD}" name="Impact Reasoning" dataDxfId="175"/>
    <tableColumn id="5" xr3:uid="{0FD90E7D-7A3C-4802-9653-E916C62E5F88}" name="Source Name" dataDxfId="174"/>
    <tableColumn id="11" xr3:uid="{076ACEFE-27E9-4BD6-8AA5-2D7B8E8254EA}" name="Main Source Link" dataDxfId="173" dataCellStyle="Hyperlink"/>
    <tableColumn id="15" xr3:uid="{60058C3B-E109-443C-9C02-6B3C989CACAD}" name="Total Records Analysed" dataDxfId="172"/>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C44804D-3157-4EBB-A777-64B3839E5B56}" name="Serbia_Rating" displayName="Serbia_Rating" ref="A1:C12" totalsRowShown="0" headerRowDxfId="171">
  <autoFilter ref="A1:C12" xr:uid="{CC44804D-3157-4EBB-A777-64B3839E5B56}"/>
  <tableColumns count="3">
    <tableColumn id="1" xr3:uid="{09CF1B95-3BCE-45B9-833A-E7330CDD2891}" name="Year"/>
    <tableColumn id="2" xr3:uid="{EFA03113-1ED9-4C4B-9C4A-36C24BD3B0CA}" name="Rating Change"/>
    <tableColumn id="3" xr3:uid="{477C13A7-6818-4196-A576-50AA4E54A639}" name="Rating Value"/>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B731D03-4CBA-428D-8E72-7ACEE8AA8F4C}" name="Macedonia_Policies_Table" displayName="Macedonia_Policies_Table" ref="A1:Q12" totalsRowShown="0">
  <autoFilter ref="A1:Q12" xr:uid="{9B731D03-4CBA-428D-8E72-7ACEE8AA8F4C}"/>
  <tableColumns count="17">
    <tableColumn id="1" xr3:uid="{FEFEBE63-3264-4230-B61A-942D4A6FC4B7}" name="Country ID" dataDxfId="170"/>
    <tableColumn id="2" xr3:uid="{75C9B38C-B942-435B-9BB4-1D2848D585A4}" name="Country" dataDxfId="169"/>
    <tableColumn id="3" xr3:uid="{CE2528AF-14D5-4903-B8F4-238FB784CCB9}" name="Date" dataDxfId="168"/>
    <tableColumn id="4" xr3:uid="{1106887F-CE28-4B28-B134-5867A5BF5937}" name="Policy / Decision / Event" dataDxfId="167"/>
    <tableColumn id="6" xr3:uid="{26C84936-581F-4C12-B952-335C6E1D9197}" name="Category" dataDxfId="166"/>
    <tableColumn id="17" xr3:uid="{B03E9952-80C3-4220-AC2C-4FAD7BEE40D7}" name="Calculated Rating" dataDxfId="165">
      <calculatedColumnFormula>Macedonia_Policies_Table[[#This Row],[Rating]]*Macedonia_Policies_Table[[#This Row],[Impact Value]]</calculatedColumnFormula>
    </tableColumn>
    <tableColumn id="12" xr3:uid="{BC4E5F8C-64AE-44B3-80E6-84FD4BDE7406}" name="Rating" dataDxfId="164">
      <calculatedColumnFormula>SUM(Macedonia_Policies_Table[[#This Row],[Impact on Country]:[Impact on EU Relations]])</calculatedColumnFormula>
    </tableColumn>
    <tableColumn id="7" xr3:uid="{F5AF7FDE-40BB-4B47-A075-E62F327AC046}" name="Impact on Country" dataDxfId="163"/>
    <tableColumn id="8" xr3:uid="{702F64DE-12A0-4EF3-BE36-0438D3F20AF5}" name="Impact on Other Countries" dataDxfId="162"/>
    <tableColumn id="9" xr3:uid="{B5779466-F671-4A1C-A726-1AD579BB1856}" name="Impact on Migrants" dataDxfId="161"/>
    <tableColumn id="10" xr3:uid="{4C0130E1-E973-464B-ACB7-BC4BE99F5523}" name="Impact on EU Relations" dataDxfId="160"/>
    <tableColumn id="16" xr3:uid="{50BA8B7B-80C5-40DD-B3CF-34A69CD6D6E8}" name="Impact Value" dataDxfId="159">
      <calculatedColumnFormula array="1">_xlfn.SWITCH(Macedonia_Policies_Table[[#This Row],[Impact]], "High", 1, "Medium", 0.66, "Low", 0.33)</calculatedColumnFormula>
    </tableColumn>
    <tableColumn id="13" xr3:uid="{0784D64E-3761-4A82-94AD-2E92DB26FA19}" name="Impact" dataDxfId="158"/>
    <tableColumn id="14" xr3:uid="{7CC93070-19D7-4898-BAA6-23D1D62A2305}" name="Impact Reasoning" dataDxfId="157"/>
    <tableColumn id="5" xr3:uid="{683FEF43-309C-47C8-8EE6-1BC4AD8AD691}" name="Source Name" dataDxfId="156"/>
    <tableColumn id="11" xr3:uid="{2EA44A8A-ED8A-4F06-9FDA-50F354026DD2}" name="Main Source Link" dataDxfId="155" dataCellStyle="Hyperlink"/>
    <tableColumn id="15" xr3:uid="{1C7406C3-BFCC-43F4-8B7F-D91A8112AA9C}" name="Total Records Analysed" dataDxfId="154"/>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2B7DA8E-B3A7-4750-AA16-94648A63981F}" name="North_Macedonia_Rating" displayName="North_Macedonia_Rating" ref="A1:C12" totalsRowShown="0" headerRowDxfId="153">
  <autoFilter ref="A1:C12" xr:uid="{F2B7DA8E-B3A7-4750-AA16-94648A63981F}"/>
  <tableColumns count="3">
    <tableColumn id="1" xr3:uid="{3C0C72DB-EC4D-442E-B514-FBA238B73786}" name="Year"/>
    <tableColumn id="2" xr3:uid="{D7BB25C4-7717-4413-9B7C-1488357EA6F8}" name="Rating Change"/>
    <tableColumn id="3" xr3:uid="{EEC6491D-287D-40F2-A966-63CAD70AAAB4}" name="Rating Value"/>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17AC89E-3357-43E2-A8B2-42F398CEB25E}" name="Montenegro_Policies_Table" displayName="Montenegro_Policies_Table" ref="A1:Q6" totalsRowShown="0" headerRowDxfId="152" headerRowBorderDxfId="151" tableBorderDxfId="150" totalsRowBorderDxfId="149">
  <autoFilter ref="A1:Q6" xr:uid="{717AC89E-3357-43E2-A8B2-42F398CEB25E}"/>
  <tableColumns count="17">
    <tableColumn id="1" xr3:uid="{E3B7EB60-553D-4711-96C6-C0581DA5719F}" name="Country ID" dataDxfId="148"/>
    <tableColumn id="2" xr3:uid="{AE6BB356-1066-4D63-816A-8D058805F5DC}" name="Country" dataDxfId="147"/>
    <tableColumn id="3" xr3:uid="{0D96FF5C-FD60-4005-A929-799740E0C5B3}" name="Date" dataDxfId="146"/>
    <tableColumn id="4" xr3:uid="{9FB2DF19-3BEF-4E22-9F61-1F32744F4562}" name="Policy / Decision / Event" dataDxfId="145"/>
    <tableColumn id="6" xr3:uid="{BE0212E0-0122-4BDD-A3C3-AC3559B7F054}" name="Category" dataDxfId="144"/>
    <tableColumn id="17" xr3:uid="{C0A28713-D9A9-40E2-854E-FBFBB8ACD8EA}" name="Calculated Rating" dataDxfId="143">
      <calculatedColumnFormula>Montenegro_Policies_Table[[#This Row],[Rating]]*Montenegro_Policies_Table[[#This Row],[Impact Value]]</calculatedColumnFormula>
    </tableColumn>
    <tableColumn id="7" xr3:uid="{02B794B7-4B83-4888-8D92-4285F1A5A396}" name="Rating" dataDxfId="142">
      <calculatedColumnFormula>SUM(Montenegro_Policies_Table[[#This Row],[Impact on Country]:[Impact on EU Relations]])</calculatedColumnFormula>
    </tableColumn>
    <tableColumn id="8" xr3:uid="{58014B14-C66C-4EDD-A807-1A51CD3ECF98}" name="Impact on Country" dataDxfId="141"/>
    <tableColumn id="9" xr3:uid="{6A4FC517-6B78-4A5A-8D91-755D33064C87}" name="Impact on Other Countries" dataDxfId="140"/>
    <tableColumn id="10" xr3:uid="{3B84BC9D-1D30-44BE-9393-0FA9DC023A17}" name="Impact on Migrants" dataDxfId="139"/>
    <tableColumn id="11" xr3:uid="{FCA5988D-705D-4726-9D6D-8DAD4F955ECF}" name="Impact on EU Relations" dataDxfId="138"/>
    <tableColumn id="16" xr3:uid="{691A12AC-C555-4C4B-A17E-D98FC116D2A4}" name="Impact Value" dataDxfId="137">
      <calculatedColumnFormula array="1">_xlfn.SWITCH(Montenegro_Policies_Table[[#This Row],[Impact]], "High", 1, "Medium", 0.66, "Low", 0.33)</calculatedColumnFormula>
    </tableColumn>
    <tableColumn id="13" xr3:uid="{1188D9A2-1DC0-478E-8B5A-F751EE9086B9}" name="Impact" dataDxfId="136"/>
    <tableColumn id="14" xr3:uid="{E1F867A9-261A-487D-916C-0538EAC4751D}" name="Impact Reasoning" dataDxfId="135"/>
    <tableColumn id="5" xr3:uid="{79038E14-7674-4EC2-96DF-5580FAD8AA18}" name="Source Name" dataDxfId="134"/>
    <tableColumn id="12" xr3:uid="{5252CBA7-3188-4AE9-A70C-22F1C64A9370}" name="Main Source Link" dataDxfId="133" dataCellStyle="Hyperlink"/>
    <tableColumn id="15" xr3:uid="{0E5C49E9-FA4B-406E-AA10-AA7E301C020F}" name="Total Records Analysed" dataDxfId="132"/>
  </tableColumns>
  <tableStyleInfo name="TableStyleMedium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3D178A4-214E-4EBB-82A8-A12B42E0FE9B}" name="Montenegro_Rating" displayName="Montenegro_Rating" ref="A1:C12" totalsRowShown="0" headerRowDxfId="131">
  <autoFilter ref="A1:C12" xr:uid="{B3D178A4-214E-4EBB-82A8-A12B42E0FE9B}"/>
  <tableColumns count="3">
    <tableColumn id="1" xr3:uid="{4F831C1F-68C8-483F-87DC-BEA0AB305697}" name="Year"/>
    <tableColumn id="2" xr3:uid="{1865FB82-016E-4D6D-A652-2625CB33696F}" name="Rating Change"/>
    <tableColumn id="3" xr3:uid="{2E750B7A-0424-4E23-9AA1-DEE7B533EB50}" name="Rating Value"/>
  </tableColumns>
  <tableStyleInfo name="TableStyleMedium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83A92E5-D546-4552-9531-CEB5613FDDEA}" name="Albania_Policies_Table" displayName="Albania_Policies_Table" ref="A1:Q9" totalsRowShown="0" headerRowDxfId="130" headerRowBorderDxfId="129" tableBorderDxfId="128" totalsRowBorderDxfId="127">
  <autoFilter ref="A1:Q9" xr:uid="{183A92E5-D546-4552-9531-CEB5613FDDEA}"/>
  <tableColumns count="17">
    <tableColumn id="1" xr3:uid="{1B8063F6-7256-4A48-88CF-86AFBA8DA732}" name="Country ID" dataDxfId="126"/>
    <tableColumn id="2" xr3:uid="{E0DABD2D-C408-4C01-ABE4-EC5DF6C32719}" name="Country" dataDxfId="125"/>
    <tableColumn id="3" xr3:uid="{50F0A2B4-42E9-44BF-ADEB-F326BB6B8A02}" name="Date" dataDxfId="124"/>
    <tableColumn id="4" xr3:uid="{ACE40394-6574-4323-A73A-5B318C109832}" name="Policy / Decision / Event" dataDxfId="123"/>
    <tableColumn id="6" xr3:uid="{238C18F1-A100-4787-9106-D766934F8CFD}" name="Category" dataDxfId="122"/>
    <tableColumn id="17" xr3:uid="{DD7D168D-49BF-44CA-8D4E-E9069E7A8317}" name="Calculated Rating" dataDxfId="121">
      <calculatedColumnFormula>Albania_Policies_Table[[#This Row],[Rating]]*Albania_Policies_Table[[#This Row],[Impact Value]]</calculatedColumnFormula>
    </tableColumn>
    <tableColumn id="7" xr3:uid="{EAD10964-E258-4C0F-869B-EBEDCA826D50}" name="Rating" dataDxfId="120">
      <calculatedColumnFormula>SUM(Albania_Policies_Table[[#This Row],[Impact on Country]:[Impact on EU Relations]])</calculatedColumnFormula>
    </tableColumn>
    <tableColumn id="8" xr3:uid="{977C3C46-6880-4F4E-B49D-5AD016137EBC}" name="Impact on Country" dataDxfId="119"/>
    <tableColumn id="9" xr3:uid="{1FFEB25A-9261-4998-80ED-23D4DC234851}" name="Impact on Other Countries" dataDxfId="118"/>
    <tableColumn id="10" xr3:uid="{5C499979-A011-40FD-80AF-2C67312F5563}" name="Impact on Migrants" dataDxfId="117"/>
    <tableColumn id="11" xr3:uid="{085E871F-C224-4206-8667-EF88B6EA5CF1}" name="Impact on EU Relations" dataDxfId="116"/>
    <tableColumn id="16" xr3:uid="{3B6A4C10-83C2-4504-9227-02979DB88842}" name="Impact Value" dataDxfId="115">
      <calculatedColumnFormula array="1">_xlfn.SWITCH(Albania_Policies_Table[[#This Row],[Impact]], "High", 1, "Medium", 0.66, "Low", 0.33)</calculatedColumnFormula>
    </tableColumn>
    <tableColumn id="13" xr3:uid="{5CCED6B4-9240-4155-B995-697421DE6B8C}" name="Impact" dataDxfId="114"/>
    <tableColumn id="14" xr3:uid="{FF33234C-71BE-43FF-8D50-61BE42F4814D}" name="Impact Reasoning" dataDxfId="113"/>
    <tableColumn id="5" xr3:uid="{CC904D90-ACC0-49BA-AF5C-EB8CFE4DE532}" name="Source Name" dataDxfId="112"/>
    <tableColumn id="12" xr3:uid="{9DB9B1F0-6E24-4FFE-9750-4509CD9176F4}" name="Main Source Link" dataDxfId="111" dataCellStyle="Hyperlink"/>
    <tableColumn id="15" xr3:uid="{91C8B021-3471-47DE-8D83-0B878CF8695D}" name="Total Records Analysed" dataDxfId="110"/>
  </tableColumns>
  <tableStyleInfo name="TableStyleMedium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F944A67-8611-4B43-B5B9-0DB3E479024D}" name="Albania_Rating" displayName="Albania_Rating" ref="A1:C12" totalsRowShown="0" headerRowDxfId="109">
  <autoFilter ref="A1:C12" xr:uid="{BF944A67-8611-4B43-B5B9-0DB3E479024D}"/>
  <tableColumns count="3">
    <tableColumn id="1" xr3:uid="{206DD1CD-EE75-42EF-9C13-42D5847FB1CC}" name="Year"/>
    <tableColumn id="2" xr3:uid="{296445D9-CC28-42B7-8158-89BE7E7AD623}" name="Rating Change"/>
    <tableColumn id="3" xr3:uid="{A2B72C2B-A303-4753-96D9-6AE426E6E1F6}" name="Rating Value"/>
  </tableColumns>
  <tableStyleInfo name="TableStyleMedium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118DBDB-4C84-40A1-80A2-1DB4ED2DCF3D}" name="Kosovo_Policies_Table" displayName="Kosovo_Policies_Table" ref="A1:Q6" totalsRowShown="0" headerRowDxfId="108" headerRowBorderDxfId="107" tableBorderDxfId="106" totalsRowBorderDxfId="105">
  <autoFilter ref="A1:Q6" xr:uid="{6118DBDB-4C84-40A1-80A2-1DB4ED2DCF3D}"/>
  <sortState xmlns:xlrd2="http://schemas.microsoft.com/office/spreadsheetml/2017/richdata2" ref="A2:P16">
    <sortCondition ref="C1:C16"/>
  </sortState>
  <tableColumns count="17">
    <tableColumn id="1" xr3:uid="{1867ABE9-1B4F-452B-9868-6662685B258F}" name="Country ID" dataDxfId="104"/>
    <tableColumn id="2" xr3:uid="{99705898-2CD0-4A19-B5F0-AA43FB5373C6}" name="Country" dataDxfId="103"/>
    <tableColumn id="3" xr3:uid="{9D1EADC1-B6B8-49BA-AAD6-CE0A9E92C44B}" name="Date" dataDxfId="102"/>
    <tableColumn id="4" xr3:uid="{FB49D3DA-BB7F-42F2-A45D-12F0B2E10D81}" name="Policy / Decision / Event" dataDxfId="101"/>
    <tableColumn id="6" xr3:uid="{947525C6-BAC6-449D-88BD-F503DC7D3A26}" name="Category" dataDxfId="100"/>
    <tableColumn id="17" xr3:uid="{D2FCB373-161E-434C-B836-AE6B0C12AB97}" name="Calculated Rating" dataDxfId="99">
      <calculatedColumnFormula>Kosovo_Policies_Table[[#This Row],[Rating]]*Kosovo_Policies_Table[[#This Row],[Impact Value]]</calculatedColumnFormula>
    </tableColumn>
    <tableColumn id="7" xr3:uid="{39F1D00C-8255-4B1A-B6FF-250C1E90C631}" name="Rating" dataDxfId="98">
      <calculatedColumnFormula>SUM(Kosovo_Policies_Table[[#This Row],[Impact on Country]:[Impact on EU Relations]])</calculatedColumnFormula>
    </tableColumn>
    <tableColumn id="8" xr3:uid="{E4661347-E7FC-4598-8A0D-1EF1AB005459}" name="Impact on Country" dataDxfId="97"/>
    <tableColumn id="9" xr3:uid="{0D13D530-8039-4D0A-93E2-7C8B4EDE3C10}" name="Impact on Other Countries" dataDxfId="96"/>
    <tableColumn id="10" xr3:uid="{71D93651-F9FE-49DF-9FCE-9294A8B2E69D}" name="Impact on Migrants" dataDxfId="95"/>
    <tableColumn id="11" xr3:uid="{05789326-2725-4BB9-B0EF-5304B8D31E8A}" name="Impact on EU Relations" dataDxfId="94"/>
    <tableColumn id="16" xr3:uid="{043D591E-D0F5-40F4-B79F-B8AAD67BE040}" name="Impact Value">
      <calculatedColumnFormula array="1">_xlfn.SWITCH(Kosovo_Policies_Table[[#This Row],[Impact]], "High", 1, "Medium", 0.66, "Low", 0.33)</calculatedColumnFormula>
    </tableColumn>
    <tableColumn id="13" xr3:uid="{8841ED23-BBA7-429D-B22A-A793BC8F4203}" name="Impact"/>
    <tableColumn id="14" xr3:uid="{4A14A992-B7DC-41FB-B632-05BBA9B1A2C7}" name="Impact Reasoning"/>
    <tableColumn id="5" xr3:uid="{E2C63C5F-F526-46AF-B237-91029F1D1E1F}" name="Source Name" dataDxfId="93"/>
    <tableColumn id="12" xr3:uid="{087C9E31-4A8E-4E53-871D-8FCCEBCC82DA}" name="Main Source Link" dataDxfId="92" dataCellStyle="Hyperlink"/>
    <tableColumn id="15" xr3:uid="{27D58923-6894-4B90-A896-C7A7FD6FB3AA}" name="Total Records Analysed"/>
  </tableColumns>
  <tableStyleInfo name="TableStyleMedium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219A6C2-4279-4688-B986-6EFC1F4EBEF5}" name="Kosovo_Rating" displayName="Kosovo_Rating" ref="A1:C12" totalsRowShown="0" headerRowDxfId="91">
  <autoFilter ref="A1:C12" xr:uid="{6219A6C2-4279-4688-B986-6EFC1F4EBEF5}"/>
  <tableColumns count="3">
    <tableColumn id="1" xr3:uid="{F18638C6-9D3C-4B39-BC9B-80625C929960}" name="Year"/>
    <tableColumn id="2" xr3:uid="{0E10D48C-58A9-4F99-A693-C78EED5E49FF}" name="Rating Change"/>
    <tableColumn id="3" xr3:uid="{5B9D30B4-3E5B-4933-BF53-CDA8DE7D3310}" name="Rating Value"/>
  </tableColumns>
  <tableStyleInfo name="TableStyleMedium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39A5C3-C5B1-4B24-ADCD-ECD6A33EAC64}" name="Slovenia_Policies_Table" displayName="Slovenia_Policies_Table" ref="A1:Q32" totalsRowShown="0" headerRowDxfId="90" headerRowBorderDxfId="89" tableBorderDxfId="88" totalsRowBorderDxfId="87">
  <autoFilter ref="A1:Q32" xr:uid="{5239A5C3-C5B1-4B24-ADCD-ECD6A33EAC64}"/>
  <tableColumns count="17">
    <tableColumn id="1" xr3:uid="{CE1C2AA7-73B6-4531-96DE-3A620472B753}" name="Country ID" dataDxfId="86"/>
    <tableColumn id="2" xr3:uid="{BE9BC39C-256D-432B-8201-DF090EDA1507}" name="Country" dataDxfId="85"/>
    <tableColumn id="3" xr3:uid="{938332E0-5814-4081-A533-B4D6E47923B0}" name="Policy Date" dataDxfId="84"/>
    <tableColumn id="4" xr3:uid="{C4AC1B8D-561B-41F8-A4DB-C81B40C4C32A}" name="Policy / Decision / Event" dataDxfId="83"/>
    <tableColumn id="6" xr3:uid="{8BEFE0EE-5DA1-4ECF-94EE-57CEE5DD0AE0}" name="Category" dataDxfId="82"/>
    <tableColumn id="18" xr3:uid="{C6AD37B7-322F-4961-9DDD-17D94E1A1AF8}" name="Calculated Rating" dataDxfId="81">
      <calculatedColumnFormula>Slovenia_Policies_Table[[#This Row],[Rating]]*Slovenia_Policies_Table[[#This Row],[Impact Value]]</calculatedColumnFormula>
    </tableColumn>
    <tableColumn id="15" xr3:uid="{53966F56-825B-41C5-A92F-A28F2C4F956E}" name="Rating" dataDxfId="80">
      <calculatedColumnFormula>SUM(Slovenia_Policies_Table[[#This Row],[Impact on Country]:[Impact on EU Relations]])</calculatedColumnFormula>
    </tableColumn>
    <tableColumn id="7" xr3:uid="{DAB76C55-2520-47CE-B1F0-E1F1635A4E60}" name="Impact on Country" dataDxfId="79"/>
    <tableColumn id="8" xr3:uid="{89D9F30F-57F8-4AF4-BC45-A1A2C443A119}" name="Impact on Other Countries" dataDxfId="78"/>
    <tableColumn id="9" xr3:uid="{C8826478-9D8C-4FF2-AD60-F3CAEF2DC56F}" name="Impact on Migrants" dataDxfId="77"/>
    <tableColumn id="14" xr3:uid="{6E6995EF-2BF7-4175-9245-E20162354E4D}" name="Impact on EU Relations" dataDxfId="76"/>
    <tableColumn id="17" xr3:uid="{173EF988-2431-4DB8-AA38-BAAB27E8EAEB}" name="Impact Value" dataDxfId="75" dataCellStyle="Comma">
      <calculatedColumnFormula array="1">_xlfn.SWITCH(Slovenia_Policies_Table[[#This Row],[Impact]], "High", 1, "Medium", 0.66, "Low", 0.33)</calculatedColumnFormula>
    </tableColumn>
    <tableColumn id="13" xr3:uid="{BD99C8E2-E6C3-4828-A2B2-83775F4004A9}" name="Impact" dataDxfId="74"/>
    <tableColumn id="16" xr3:uid="{17FA1680-8908-4366-9689-B8289178D297}" name="Impact Reasoning" dataDxfId="73"/>
    <tableColumn id="5" xr3:uid="{FD8FCF2B-39D1-48C5-9845-17328AC32FD4}" name="Source Name" dataDxfId="72"/>
    <tableColumn id="11" xr3:uid="{178FA0C6-6758-4ACA-8446-3DF02C840F87}" name="Main Source Link" dataDxfId="71" dataCellStyle="Hyperlink"/>
    <tableColumn id="10" xr3:uid="{E91AD4CB-36D6-44E7-B8C0-0B98C36FCBFC}" name="Total Records Analysed"/>
  </tableColumns>
  <tableStyleInfo name="TableStyleMedium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0714505-837F-4F92-AF07-B7786FA7C02F}" name="Slovenia_Rating" displayName="Slovenia_Rating" ref="A1:C12" totalsRowShown="0" headerRowDxfId="70">
  <autoFilter ref="A1:C12" xr:uid="{50714505-837F-4F92-AF07-B7786FA7C02F}"/>
  <tableColumns count="3">
    <tableColumn id="1" xr3:uid="{74786542-D69D-440A-BBD4-34489FCF2854}" name="Year"/>
    <tableColumn id="2" xr3:uid="{8D98A0EC-7EF0-4461-9FB8-E7A30ED4044E}" name="Rating Change"/>
    <tableColumn id="3" xr3:uid="{6693E325-8821-429E-AF8C-CCB36C6817C7}" name="Rating Value"/>
  </tableColumns>
  <tableStyleInfo name="TableStyleMedium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29A114E-42E4-40A6-B4FC-93A79BE1E6FA}" name="Hungary_Policies_Table" displayName="Hungary_Policies_Table" ref="A1:Q14" totalsRowShown="0" headerRowDxfId="69" headerRowBorderDxfId="68" tableBorderDxfId="67" totalsRowBorderDxfId="66">
  <autoFilter ref="A1:Q14" xr:uid="{829A114E-42E4-40A6-B4FC-93A79BE1E6FA}"/>
  <tableColumns count="17">
    <tableColumn id="1" xr3:uid="{20C2A622-B28E-4EE7-B0C5-829257754187}" name="Country ID" dataDxfId="65"/>
    <tableColumn id="2" xr3:uid="{CE00667B-061F-417F-9B80-92353398B983}" name="Country" dataDxfId="64"/>
    <tableColumn id="3" xr3:uid="{1919E60F-B3BD-4AE5-9B31-C2CF33B91883}" name="Date" dataDxfId="63"/>
    <tableColumn id="4" xr3:uid="{5E636A73-25AF-4CA8-862F-F201464A2A02}" name="Policy / Decision / Event" dataDxfId="62"/>
    <tableColumn id="6" xr3:uid="{960966B5-116F-43C5-98D2-E3358F457F21}" name="Category" dataDxfId="61"/>
    <tableColumn id="17" xr3:uid="{F94B16EE-D613-4CE2-9D11-FCFC67074275}" name="Calculated Rating" dataDxfId="60">
      <calculatedColumnFormula>Hungary_Policies_Table[[#This Row],[Rating]]*Hungary_Policies_Table[[#This Row],[Impact Value]]</calculatedColumnFormula>
    </tableColumn>
    <tableColumn id="7" xr3:uid="{813B28B1-0170-4E7E-8FAE-2295FC50C361}" name="Rating" dataDxfId="59">
      <calculatedColumnFormula>SUM(Hungary_Policies_Table[[#This Row],[Impact on Country]:[Impact on EU Relations]])</calculatedColumnFormula>
    </tableColumn>
    <tableColumn id="8" xr3:uid="{DDAE11BA-50C0-491F-BBA7-45588E0A7935}" name="Impact on Country" dataDxfId="58"/>
    <tableColumn id="9" xr3:uid="{1D4F2F3C-EBE8-405A-9629-E6A7139C7E21}" name="Impact on Other Countries" dataDxfId="57"/>
    <tableColumn id="10" xr3:uid="{153D02F4-3434-4DDC-92A4-07F4F69CFD05}" name="Impact on Migrants" dataDxfId="56"/>
    <tableColumn id="11" xr3:uid="{D579E84A-7645-4350-A515-E7FD727A0AB5}" name="Impact on EU Relations" dataDxfId="55"/>
    <tableColumn id="16" xr3:uid="{49EF11C8-6226-4F17-BC3F-2F99EE7E8213}" name="Impact Value" dataDxfId="54">
      <calculatedColumnFormula array="1">_xlfn.SWITCH(Hungary_Policies_Table[[#This Row],[Impact]], "High", 1, "Medium", 0.66, "Low", 0.33)</calculatedColumnFormula>
    </tableColumn>
    <tableColumn id="13" xr3:uid="{BD6B6F7C-94B2-42DD-9E95-731A0AF018BB}" name="Impact" dataDxfId="53"/>
    <tableColumn id="14" xr3:uid="{3CE24C08-9B58-48CD-9B58-2F650ACC2B70}" name="Impact Reasoning" dataDxfId="52"/>
    <tableColumn id="5" xr3:uid="{29986028-2D76-4A10-9677-D522EBE82216}" name="Source Name" dataDxfId="51"/>
    <tableColumn id="12" xr3:uid="{12435C4E-7FAB-4014-B8D3-2CD5949BB9A0}" name="Source Link" dataDxfId="50" dataCellStyle="Hyperlink"/>
    <tableColumn id="15" xr3:uid="{F25B155C-C8CD-4F34-94BA-48817AB436A5}" name="Number of Records Used" dataDxfId="49"/>
  </tableColumns>
  <tableStyleInfo name="TableStyleMedium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8B8CF44-E8F3-47C9-B0EE-605CA5254CB7}" name="Hungary_Rating" displayName="Hungary_Rating" ref="A1:C12" totalsRowShown="0" headerRowDxfId="48">
  <autoFilter ref="A1:C12" xr:uid="{D8B8CF44-E8F3-47C9-B0EE-605CA5254CB7}"/>
  <tableColumns count="3">
    <tableColumn id="1" xr3:uid="{5D3C8A4B-8756-46F6-B48E-F8C44CC955BC}" name="Year"/>
    <tableColumn id="2" xr3:uid="{EE9C8895-C2B8-4A21-BC2E-FCBC095ADB6E}" name="Rating Change"/>
    <tableColumn id="3" xr3:uid="{082810D2-FEED-4BA3-B40D-11E793CE8E64}" name="Rating Value"/>
  </tableColumns>
  <tableStyleInfo name="TableStyleMedium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6A532B5-4F94-4FAD-8F87-69DF451A1879}" name="Western_Balkans_Policies" displayName="Western_Balkans_Policies" ref="A1:Q147" totalsRowShown="0" headerRowDxfId="47" headerRowBorderDxfId="46" tableBorderDxfId="45" totalsRowBorderDxfId="44">
  <autoFilter ref="A1:Q147" xr:uid="{96A532B5-4F94-4FAD-8F87-69DF451A1879}"/>
  <tableColumns count="17">
    <tableColumn id="1" xr3:uid="{4111AA85-3446-4A9F-BB78-7CE84BE6F1A4}" name="Country ID" dataDxfId="43"/>
    <tableColumn id="2" xr3:uid="{1818707B-6B50-4D47-B38A-50B9E4CC2122}" name="Country" dataDxfId="42"/>
    <tableColumn id="3" xr3:uid="{CE6C53D6-C46C-489E-B994-D9B02D61A0FF}" name="Policy Date" dataDxfId="41"/>
    <tableColumn id="4" xr3:uid="{F0DBC342-A0DC-41CD-8A09-94DC5D06B3EF}" name="Policy / Decision / Event" dataDxfId="40"/>
    <tableColumn id="6" xr3:uid="{6E8CEADE-6F95-451E-B951-2B614F93A628}" name="Category" dataDxfId="39"/>
    <tableColumn id="15" xr3:uid="{4EACDD57-92A3-4570-BC73-E9041B78F96D}" name="Calculated Rating" dataDxfId="38">
      <calculatedColumnFormula>SUM(Western_Balkans_Policies[[#This Row],[Rating]:[Impact on Migrants]])</calculatedColumnFormula>
    </tableColumn>
    <tableColumn id="7" xr3:uid="{F4016FC4-001C-4B7E-92CE-4CB11FF5CDEF}" name="Rating" dataDxfId="37"/>
    <tableColumn id="8" xr3:uid="{1FF5CC4E-1C86-4756-9863-6AD9461AAA66}" name="Impact on Country" dataDxfId="36"/>
    <tableColumn id="9" xr3:uid="{40A6C9FD-6518-4809-810A-EEDCA6F74164}" name="Impact on Other Countries" dataDxfId="35"/>
    <tableColumn id="14" xr3:uid="{B5BD04DA-5ACF-4586-9E10-B8C45062A399}" name="Impact on Migrants" dataDxfId="34"/>
    <tableColumn id="11" xr3:uid="{11CDA7B9-93DA-4324-B98F-E3AFD0DE7F90}" name="Impact on EU Relations" dataDxfId="33" dataCellStyle="Hyperlink"/>
    <tableColumn id="5" xr3:uid="{C3C8A9CB-BA7D-445F-A04E-79DD6ABA0438}" name="Impact Value" dataDxfId="32"/>
    <tableColumn id="10" xr3:uid="{348B5574-4260-4DD2-89C3-A94BD6D57654}" name="Impact" dataDxfId="31"/>
    <tableColumn id="12" xr3:uid="{01E73F8F-6A7B-4520-9863-A748BABBBA60}" name="Impact Reasoning" dataDxfId="30"/>
    <tableColumn id="13" xr3:uid="{C0E4A145-0719-4B90-ADC8-261F0CDBD8EA}" name="Source Name" dataDxfId="29"/>
    <tableColumn id="16" xr3:uid="{AA72432A-E7D4-43B6-862F-9ABC01E70062}" name="Main Source Link" dataDxfId="28"/>
    <tableColumn id="17" xr3:uid="{F0A50BAF-B995-42CD-8B0A-41F13C1502F5}" name="Total Records Analysed" dataDxfId="27"/>
  </tableColumns>
  <tableStyleInfo name="TableStyleMedium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02F9CA-1536-4E80-AA9B-A9CDD1B6EE20}" name="Variables_Slovenia" displayName="Variables_Slovenia" ref="A17:K28" totalsRowShown="0" headerRowDxfId="26">
  <autoFilter ref="A17:K28" xr:uid="{6B02F9CA-1536-4E80-AA9B-A9CDD1B6EE20}"/>
  <tableColumns count="11">
    <tableColumn id="1" xr3:uid="{B162910C-6037-4940-8EE5-D50BAD5D9701}" name="YEAR"/>
    <tableColumn id="2" xr3:uid="{FFAAFEE4-C3F8-41F2-A1EA-26CECA996EBD}" name="HUMAN FREEDOM INDEX"/>
    <tableColumn id="3" xr3:uid="{AD6B2A2E-9334-4B20-96CC-7EC89476E5F3}" name="CIVIL SOCIETY PARTICIPATION INDEX"/>
    <tableColumn id="4" xr3:uid="{3D50D3C0-52D1-4B66-B119-35D2C18CDA52}" name="POLITICAL STABILITY INDEX"/>
    <tableColumn id="11" xr3:uid="{EC5E78E1-EF5A-4144-AF5F-406942643BFB}" name="POLITICAL STABILITY INDEX NORMALIZED"/>
    <tableColumn id="5" xr3:uid="{3FD7BB98-EB4C-4A8A-8826-7638724A70C0}" name="ACADEMIC FREEDOM INDEX"/>
    <tableColumn id="6" xr3:uid="{02CD3418-AB00-46DC-84A0-EE59DA2FDEFE}" name="ECONOMIC FREEDOM INDEX"/>
    <tableColumn id="7" xr3:uid="{2E5B542B-C7BC-4A80-8EB1-0E1406D4E320}" name="DEMOCRACY INDEX"/>
    <tableColumn id="8" xr3:uid="{5BFA4C05-FA91-47E7-8A97-98E542DE2C6C}" name="ELECTORAL DEMOCRACY INDEX"/>
    <tableColumn id="9" xr3:uid="{90D2C2A3-2372-4D0C-93D3-9B396A37DB28}" name="LIBERAL DEMOCRACY INDEX"/>
    <tableColumn id="10" xr3:uid="{286A54EB-F3D0-4A51-81DF-4366784C304F}" name="RSF PRESS FREEDOM INDEX"/>
  </tableColumns>
  <tableStyleInfo name="TableStyleMedium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25CA6F5B-D208-49AA-A278-5A26CFBC36CD}" name="Variables_Croatia" displayName="Variables_Croatia" ref="A32:K43" totalsRowShown="0" headerRowDxfId="25">
  <autoFilter ref="A32:K43" xr:uid="{25CA6F5B-D208-49AA-A278-5A26CFBC36CD}"/>
  <tableColumns count="11">
    <tableColumn id="1" xr3:uid="{8287A8A2-4E2D-4D84-B86C-17396A1987FC}" name="YEAR"/>
    <tableColumn id="2" xr3:uid="{4F08AD1C-3272-47D3-8328-B5D88AC9F236}" name="HUMAN FREEDOM INDEX"/>
    <tableColumn id="3" xr3:uid="{56628924-0354-418D-8B6F-9A35E582F0BD}" name="CIVIL SOCIETY PARTICIPATION INDEX"/>
    <tableColumn id="4" xr3:uid="{4A520ADB-646A-43DB-A517-75221DDBA4C6}" name="POLITICAL STABILITY INDEX"/>
    <tableColumn id="11" xr3:uid="{B419BE1D-987A-44A8-BFB3-A3046A333229}" name="POLITICAL STABILITY INDEX NORMALIZED"/>
    <tableColumn id="5" xr3:uid="{8972AF46-A830-42CD-934B-967BCC6DF1A6}" name="ACADEMIC FREEDOM INDEX"/>
    <tableColumn id="6" xr3:uid="{7C7764E7-8397-40FA-A198-9F8E01E723CC}" name="ECONOMIC FREEDOM INDEX"/>
    <tableColumn id="7" xr3:uid="{685AF61A-6F75-42FB-B35A-40098BAEF4CE}" name="DEMOCRACY INDEX"/>
    <tableColumn id="8" xr3:uid="{E81482B4-47A0-4F3D-BF3A-B2C42F9E94FA}" name="ELECTORAL DEMOCRACY INDEX"/>
    <tableColumn id="9" xr3:uid="{EB8FE7BF-83FA-4B1D-97D6-601335D61987}" name="LIBERAL DEMOCRACY INDEX"/>
    <tableColumn id="10" xr3:uid="{11E76015-6038-4966-AA5E-44DA14E350E5}" name="RSF PRESS FREEDOM INDEX"/>
  </tableColumns>
  <tableStyleInfo name="TableStyleMedium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9F2ADED-859B-45F5-AD14-BE17DDFEE951}" name="Variables_Bosnia" displayName="Variables_Bosnia" ref="A47:K58" totalsRowShown="0" headerRowDxfId="24">
  <autoFilter ref="A47:K58" xr:uid="{E9F2ADED-859B-45F5-AD14-BE17DDFEE951}"/>
  <tableColumns count="11">
    <tableColumn id="1" xr3:uid="{C6787321-6E2A-4494-AD4D-BE85CF8FA235}" name="YEAR"/>
    <tableColumn id="2" xr3:uid="{0B6C6CFB-3F18-4EB2-8F63-43E6250746E9}" name="HUMAN FREEDOM INDEX"/>
    <tableColumn id="3" xr3:uid="{2430CFC6-C287-493E-8E32-5448884F8703}" name="CIVIL SOCIETY PARTICIPATION INDEX"/>
    <tableColumn id="4" xr3:uid="{4D33691F-598B-49D6-9AD5-6E070FD6FFEF}" name="POLITICAL STABILITY INDEX"/>
    <tableColumn id="11" xr3:uid="{FA68FCF3-DAB6-483B-97F6-135F25DF1C15}" name="POLITICAL STABILITY INDEX NORMALIZED"/>
    <tableColumn id="5" xr3:uid="{68F2BF7A-41CE-42AE-8FA2-BD425709B41F}" name="ACADEMIC FREEDOM INDEX"/>
    <tableColumn id="6" xr3:uid="{5FB71DA0-8372-4815-AA6E-CDA371E00EC5}" name="ECONOMIC FREEDOM INDEX"/>
    <tableColumn id="7" xr3:uid="{89F3B454-EEE6-44BB-B63B-DA8B91206A9B}" name="DEMOCRACY INDEX"/>
    <tableColumn id="8" xr3:uid="{D3917A74-C5A0-4CB5-904F-58A99ABFF543}" name="ELECTORAL DEMOCRACY INDEX"/>
    <tableColumn id="9" xr3:uid="{DE331F2C-23D8-46D0-BB5A-2B29911D2885}" name="LIBERAL DEMOCRACY INDEX"/>
    <tableColumn id="10" xr3:uid="{EEBC1FF9-FA45-44EF-AD3A-2CB4F2F41183}" name="RSF PRESS FREEDOM INDEX"/>
  </tableColumns>
  <tableStyleInfo name="TableStyleMedium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86BD0AD-230F-4B03-A728-4D0CE3B77E81}" name="Variables_Serbia" displayName="Variables_Serbia" ref="A62:K73" totalsRowShown="0" headerRowDxfId="23">
  <autoFilter ref="A62:K73" xr:uid="{286BD0AD-230F-4B03-A728-4D0CE3B77E81}"/>
  <tableColumns count="11">
    <tableColumn id="1" xr3:uid="{22486525-D732-44B3-99FC-CEA88CD3CFCD}" name="YEAR"/>
    <tableColumn id="2" xr3:uid="{AB9AA624-384E-47D7-9307-3524525EB83E}" name="HUMAN FREEDOM INDEX"/>
    <tableColumn id="3" xr3:uid="{83341D87-3D37-412E-8F26-E6A390CC64FA}" name="CIVIL SOCIETY PARTICIPATION INDEX"/>
    <tableColumn id="4" xr3:uid="{A285B355-8DBE-4089-B49C-F73A1876C2AB}" name="POLITICAL STABILITY INDEX"/>
    <tableColumn id="11" xr3:uid="{A3154E02-3270-41AA-8A93-A03DC515D55D}" name="POLITICAL STABILITY INDEX NORMALIZED"/>
    <tableColumn id="5" xr3:uid="{CA7BF93B-143D-4C9D-8488-F45A23B5C089}" name="ACADEMIC FREEDOM INDEX"/>
    <tableColumn id="6" xr3:uid="{1429BB3C-17F0-4E96-97BB-B0E6C07A70C0}" name="ECONOMIC FREEDOM INDEX"/>
    <tableColumn id="7" xr3:uid="{4A85BF1D-8D11-4575-9607-A73357B37618}" name="DEMOCRACY INDEX"/>
    <tableColumn id="8" xr3:uid="{D49E2C22-58CE-4F52-84D0-181320F56C02}" name="ELECTORAL DEMOCRACY INDEX"/>
    <tableColumn id="9" xr3:uid="{0737E2E9-0CCA-4AA8-9995-7AF63A6CE276}" name="LIBERAL DEMOCRACY INDEX"/>
    <tableColumn id="10" xr3:uid="{BEE56C35-DACD-40D4-9BD1-488411C5B3A4}" name="RSF PRESS FREEDOM INDEX"/>
  </tableColumns>
  <tableStyleInfo name="TableStyleMedium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D5256CE-DBCB-464C-8D8E-A6F868C513E4}" name="Variables_Macedonia" displayName="Variables_Macedonia" ref="A77:K88" totalsRowShown="0" headerRowDxfId="22">
  <autoFilter ref="A77:K88" xr:uid="{2D5256CE-DBCB-464C-8D8E-A6F868C513E4}"/>
  <tableColumns count="11">
    <tableColumn id="1" xr3:uid="{086F3FD0-EEB5-475F-B79F-B913F5F770DA}" name="YEAR"/>
    <tableColumn id="2" xr3:uid="{BB919009-D4F5-49A7-907F-5B7850512F29}" name="HUMAN FREEDOM INDEX"/>
    <tableColumn id="3" xr3:uid="{76601D7D-9780-431E-B011-BA393AB34CE5}" name="CIVIL SOCIETY PARTICIPATION INDEX"/>
    <tableColumn id="4" xr3:uid="{6D717715-10C5-4869-A7EB-013253BC41CF}" name="POLITICAL STABILITY INDEX"/>
    <tableColumn id="11" xr3:uid="{58C08173-278C-45EC-8914-60C0855D0C66}" name="POLITICAL STABILITY INDEX NORMALIZED"/>
    <tableColumn id="5" xr3:uid="{9278CF51-97CF-4365-9A90-B02A2D6ADE57}" name="ACADEMIC FREEDOM INDEX"/>
    <tableColumn id="6" xr3:uid="{D098E050-6D76-4AD1-8014-359756D96DF8}" name="ECONOMIC FREEDOM INDEX"/>
    <tableColumn id="7" xr3:uid="{E7F5C548-51D3-4BC0-B578-FAB977A4B21A}" name="DEMOCRACY INDEX"/>
    <tableColumn id="8" xr3:uid="{8919CCDA-95D3-46D7-8388-27028E9FB81F}" name="ELECTORAL DEMOCRACY INDEX"/>
    <tableColumn id="9" xr3:uid="{EF680A2A-25D8-41A9-9034-FE9159BC3A67}" name="LIBERAL DEMOCRACY INDEX"/>
    <tableColumn id="10" xr3:uid="{895432F7-E3EE-4284-9B04-574578BE3EBC}" name="RSF PRESS FREEDOM INDEX"/>
  </tableColumns>
  <tableStyleInfo name="TableStyleMedium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3441DA7-6252-426A-9E9C-07DC44C4E909}" name="Variables_Hungary" displayName="Variables_Hungary" ref="A92:K103" totalsRowShown="0" headerRowDxfId="21">
  <autoFilter ref="A92:K103" xr:uid="{93441DA7-6252-426A-9E9C-07DC44C4E909}"/>
  <tableColumns count="11">
    <tableColumn id="1" xr3:uid="{E2778C37-CEFD-4D65-AA06-18A8269A5BC7}" name="YEAR"/>
    <tableColumn id="2" xr3:uid="{AD9BEC9C-1E34-4607-A468-52B272812FD4}" name="HUMAN FREEDOM INDEX"/>
    <tableColumn id="3" xr3:uid="{2E4870B7-4631-4543-9E1B-9582359B9122}" name="CIVIL SOCIETY PARTICIPATION INDEX"/>
    <tableColumn id="4" xr3:uid="{F08C630D-BB19-4A32-9780-8132B5697476}" name="POLITICAL STABILITY INDEX"/>
    <tableColumn id="11" xr3:uid="{AC4460C4-26A3-49BA-BA0A-526317CBDF9A}" name="POLITICAL STABILITY INDEX NORMALIZED"/>
    <tableColumn id="5" xr3:uid="{FEDA43A4-C73B-467B-8B68-F88C341F0AC7}" name="ACADEMIC FREEDOM INDEX"/>
    <tableColumn id="6" xr3:uid="{FA9B496A-5634-4E1A-9EA7-31D724B82F5C}" name="ECONOMIC FREEDOM INDEX"/>
    <tableColumn id="7" xr3:uid="{6ACEB92D-DAC9-4625-B22F-FB6864F7CB7C}" name="DEMOCRACY INDEX"/>
    <tableColumn id="8" xr3:uid="{182FD9CC-DAAD-417F-A31C-F9D008DA4DB1}" name="ELECTORAL DEMOCRACY INDEX"/>
    <tableColumn id="9" xr3:uid="{801FB979-C4C4-44BE-AFF0-DFAF940E54EB}" name="LIBERAL DEMOCRACY INDEX"/>
    <tableColumn id="10" xr3:uid="{8BDEE945-48EC-4934-9778-ADA4C2A676BA}" name="RSF PRESS FREEDOM INDEX"/>
  </tableColumns>
  <tableStyleInfo name="TableStyleMedium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2BD32FB-6F48-4F52-BFCB-B600FD0AE331}" name="Variables_Montenegro" displayName="Variables_Montenegro" ref="A107:K118" totalsRowShown="0" headerRowDxfId="20">
  <autoFilter ref="A107:K118" xr:uid="{32BD32FB-6F48-4F52-BFCB-B600FD0AE331}"/>
  <tableColumns count="11">
    <tableColumn id="1" xr3:uid="{062F9204-FF47-4905-B4FC-FE81443190FC}" name="YEAR"/>
    <tableColumn id="2" xr3:uid="{6602183E-53E1-4BB5-9AC3-C5711E112FEC}" name="HUMAN FREEDOM INDEX"/>
    <tableColumn id="3" xr3:uid="{A78D9D78-5767-4DA6-8D81-39D7758E98D2}" name="CIVIL SOCIETY PARTICIPATION INDEX"/>
    <tableColumn id="4" xr3:uid="{E50BD992-AC3E-4EDA-8406-96B1B6F824CB}" name="POLITICAL STABILITY INDEX"/>
    <tableColumn id="11" xr3:uid="{3537DF5C-CDA0-49CD-A14E-A307A8C45DEE}" name="POLITICAL STABILITY INDEX NORMALIZED"/>
    <tableColumn id="5" xr3:uid="{017F8695-5502-4D19-89BC-14EC1032D8AD}" name="ACADEMIC FREEDOM INDEX"/>
    <tableColumn id="6" xr3:uid="{949EB5AB-30BA-4DC5-9B24-A9D33F2B6172}" name="ECONOMIC FREEDOM INDEX"/>
    <tableColumn id="7" xr3:uid="{BAB73121-BBE6-4A27-B32B-2E7FA1EA009B}" name="DEMOCRACY INDEX"/>
    <tableColumn id="8" xr3:uid="{7D5E7C0F-8BD5-4D3E-8F3E-920EA3EB3DA3}" name="ELECTORAL DEMOCRACY INDEX"/>
    <tableColumn id="9" xr3:uid="{C3D8C853-E3A3-4A0F-98E9-01FBD345C486}" name="LIBERAL DEMOCRACY INDEX"/>
    <tableColumn id="10" xr3:uid="{76A15163-E1C8-4CA6-B87D-B1BE2D152DF5}" name="RSF PRESS FREEDOM INDEX"/>
  </tableColumns>
  <tableStyleInfo name="TableStyleMedium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87631747-8079-4326-9506-F8FAF74D6BBA}" name="Variables_Albania" displayName="Variables_Albania" ref="A122:K133" totalsRowShown="0" headerRowDxfId="19">
  <autoFilter ref="A122:K133" xr:uid="{87631747-8079-4326-9506-F8FAF74D6BBA}"/>
  <tableColumns count="11">
    <tableColumn id="1" xr3:uid="{4ABA892D-BACC-48AA-87CB-2683798E7C1F}" name="YEAR"/>
    <tableColumn id="2" xr3:uid="{62764CB7-95DD-4AC2-9F21-B60EDB82C8E8}" name="HUMAN FREEDOM INDEX"/>
    <tableColumn id="3" xr3:uid="{43740F2D-0A72-49E7-A0E9-F3C0411DE4F8}" name="CIVIL SOCIETY PARTICIPATION INDEX"/>
    <tableColumn id="4" xr3:uid="{86D60A54-0042-4632-B6A3-73DFABE43A71}" name="POLITICAL STABILITY INDEX"/>
    <tableColumn id="11" xr3:uid="{972A0BAA-F454-43E4-B405-F723E6FA9177}" name="POLITICAL STABILITY INDEX NORMALIZED"/>
    <tableColumn id="5" xr3:uid="{FBAFB5A2-CDB0-4700-830F-6478A2708D4E}" name="ACADEMIC FREEDOM INDEX"/>
    <tableColumn id="6" xr3:uid="{7AD520AF-3545-4EAE-BEEB-3A7CD0746059}" name="ECONOMIC FREEDOM INDEX"/>
    <tableColumn id="7" xr3:uid="{7162FEE7-4ACB-49D7-8D08-8D4A473EA864}" name="DEMOCRACY INDEX"/>
    <tableColumn id="8" xr3:uid="{D0897660-5995-4372-AD54-A91DA591D4F7}" name="ELECTORAL DEMOCRACY INDEX"/>
    <tableColumn id="9" xr3:uid="{74EA2D30-A3A3-4EAA-974B-047C98A08F22}" name="LIBERAL DEMOCRACY INDEX"/>
    <tableColumn id="10" xr3:uid="{5621EDF6-7118-4721-A3BF-00DFC636D27B}" name="RSF PRESS FREEDOM INDEX"/>
  </tableColumns>
  <tableStyleInfo name="TableStyleMedium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89AD6CC-A154-4AC2-B3FD-3FC881083E66}" name="Variables_Kosovo" displayName="Variables_Kosovo" ref="A137:J148" totalsRowShown="0" headerRowDxfId="18">
  <autoFilter ref="A137:J148" xr:uid="{C89AD6CC-A154-4AC2-B3FD-3FC881083E66}"/>
  <tableColumns count="10">
    <tableColumn id="1" xr3:uid="{3161D316-AC04-4402-9D80-8D66842B81F3}" name="YEAR"/>
    <tableColumn id="2" xr3:uid="{44256E24-7391-4C4C-A763-53AE733C87C2}" name="HUMAN FREEDOM INDEX"/>
    <tableColumn id="3" xr3:uid="{B6E7E5EC-F432-48D5-91BE-35666B48CF1D}" name="CIVIL SOCIETY PARTICIPATION INDEX"/>
    <tableColumn id="4" xr3:uid="{732F6158-0D6A-4B06-B345-5A775BC56FA0}" name="POLITICAL STABILITY INDEX"/>
    <tableColumn id="5" xr3:uid="{64DC5B7C-D6EB-4D14-B1F7-555425658CF1}" name="ACADEMIC FREEDOM INDEX"/>
    <tableColumn id="6" xr3:uid="{407E688F-7293-4134-B368-2A687A6764C8}" name="ECONOMIC FREEDOM INDEX"/>
    <tableColumn id="7" xr3:uid="{32AE5346-68ED-4B64-B2E3-EBEE6D766F1F}" name="DEMOCRACY INDEX"/>
    <tableColumn id="8" xr3:uid="{A7DAE596-7E36-4294-819A-DE2495C07A3B}" name="ELECTORAL DEMOCRACY INDEX"/>
    <tableColumn id="9" xr3:uid="{977E28C0-11B4-481E-8900-CC0462334670}" name="LIBERAL DEMOCRACY INDEX"/>
    <tableColumn id="10" xr3:uid="{3227B547-1FFB-4718-BE8F-202B7FAC300C}" name="RSF PRESS FREEDOM INDEX"/>
  </tableColumns>
  <tableStyleInfo name="TableStyleMedium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0A82F2A-939E-40C1-BFF0-6C24FA94157E}" name="VariablesG_Slovenia" displayName="VariablesG_Slovenia" ref="A2:J13" totalsRowShown="0" headerRowDxfId="17">
  <autoFilter ref="A2:J13" xr:uid="{A0A82F2A-939E-40C1-BFF0-6C24FA94157E}"/>
  <tableColumns count="10">
    <tableColumn id="1" xr3:uid="{50BCB50E-11FC-4020-AB05-CE75DF613FC4}" name="YEAR"/>
    <tableColumn id="2" xr3:uid="{0ACAE4C2-B097-4122-87C1-1CC5557A6356}" name="HUMAN FREEDOM INDEX"/>
    <tableColumn id="3" xr3:uid="{159411FA-3262-4752-A62E-46FD2063A74A}" name="CIVIL SOCIETY PARTICIPATION INDEX"/>
    <tableColumn id="4" xr3:uid="{38A90377-0C81-4312-AC56-2B2AB404191B}" name="POLITICAL STABILITY INDEX"/>
    <tableColumn id="5" xr3:uid="{D8B897A7-4A03-41DF-9C5F-858F5B526932}" name="ACADEMIC FREEDOM INDEX"/>
    <tableColumn id="6" xr3:uid="{DABE0514-95E3-4BDC-80D6-0ACC9F3C81DE}" name="ECONOMIC FREEDOM INDEX"/>
    <tableColumn id="7" xr3:uid="{42BB62AC-480E-49AE-97F2-8A965EB5BC0F}" name="DEMOCRACY INDEX"/>
    <tableColumn id="8" xr3:uid="{D81B0C88-85A8-46FE-8050-A66A2CDE7D7B}" name="ELECTORAL DEMOCRACY INDEX"/>
    <tableColumn id="9" xr3:uid="{967B2395-923A-4256-87D1-3B0E031E4122}" name="LIBERAL DEMOCRACY INDEX"/>
    <tableColumn id="10" xr3:uid="{0D525390-F2EB-4C92-9B3E-35802AAF9E3A}" name="RSF PRESS FREEDOM INDEX"/>
  </tableColumns>
  <tableStyleInfo name="TableStyleMedium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7EE6D15-AFDD-44B3-871E-6F13AA99661C}" name="VariablesG_Croatia" displayName="VariablesG_Croatia" ref="A16:J27" totalsRowShown="0" headerRowDxfId="16">
  <autoFilter ref="A16:J27" xr:uid="{07EE6D15-AFDD-44B3-871E-6F13AA99661C}"/>
  <tableColumns count="10">
    <tableColumn id="1" xr3:uid="{7F9DD84F-2F8A-4CE9-A42F-C0E833E32E61}" name="YEAR"/>
    <tableColumn id="2" xr3:uid="{FFBAD77E-9C6C-4D52-B347-BB864252C6D0}" name="HUMAN FREEDOM INDEX"/>
    <tableColumn id="3" xr3:uid="{96F5ACBA-ACFE-4D06-92CA-6744107D81EB}" name="CIVIL SOCIETY PARTICIPATION INDEX"/>
    <tableColumn id="4" xr3:uid="{76BC0518-22D2-47FD-95FE-EEF2E4E0F48E}" name="POLITICAL STABILITY INDEX"/>
    <tableColumn id="5" xr3:uid="{A26FCC99-F71F-4C87-B12A-5834D3B53CC3}" name="ACADEMIC FREEDOM INDEX"/>
    <tableColumn id="6" xr3:uid="{28F4C976-5AA7-4EC8-9312-E9114510E288}" name="ECONOMIC FREEDOM INDEX"/>
    <tableColumn id="7" xr3:uid="{4FED3DF6-0508-4886-A98F-B3FFB6FCD3B6}" name="DEMOCRACY INDEX"/>
    <tableColumn id="8" xr3:uid="{7ACCB2D6-F8D1-4EF7-A7A8-373CB8BB5866}" name="ELECTORAL DEMOCRACY INDEX"/>
    <tableColumn id="9" xr3:uid="{70F79C80-0D29-4913-9611-9B15C6D01864}" name="LIBERAL DEMOCRACY INDEX"/>
    <tableColumn id="10" xr3:uid="{6024091B-DE78-442D-842F-859F2D14BA14}" name="RSF PRESS FREEDOM INDEX"/>
  </tableColumns>
  <tableStyleInfo name="TableStyleMedium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5C9FBB6A-D22E-436F-8F40-3B3AB51BF49E}" name="VariablesG_Bosnia" displayName="VariablesG_Bosnia" ref="A30:J41" totalsRowShown="0" headerRowDxfId="15">
  <autoFilter ref="A30:J41" xr:uid="{5C9FBB6A-D22E-436F-8F40-3B3AB51BF49E}"/>
  <tableColumns count="10">
    <tableColumn id="1" xr3:uid="{1E66813C-972C-4FBB-8CF3-B15B44412784}" name="YEAR"/>
    <tableColumn id="2" xr3:uid="{7E446612-8D20-49BD-A421-84D37E6708EB}" name="HUMAN FREEDOM INDEX"/>
    <tableColumn id="3" xr3:uid="{6ECC680D-EC03-4B03-8784-F93CA9A55844}" name="CIVIL SOCIETY PARTICIPATION INDEX"/>
    <tableColumn id="4" xr3:uid="{62FDB839-10A2-473C-9D09-077339C7A035}" name="POLITICAL STABILITY INDEX"/>
    <tableColumn id="5" xr3:uid="{753551F7-31FB-48AD-87DA-EF2A1D126C33}" name="ACADEMIC FREEDOM INDEX"/>
    <tableColumn id="6" xr3:uid="{F9E828FA-BC79-4CFD-AB1B-60961796CF48}" name="ECONOMIC FREEDOM INDEX"/>
    <tableColumn id="7" xr3:uid="{4BB6A042-C3AE-4B87-BC32-EB0BEC06C13E}" name="DEMOCRACY INDEX"/>
    <tableColumn id="8" xr3:uid="{BB4B5366-EE56-4614-91B3-54ADA40B95B6}" name="ELECTORAL DEMOCRACY INDEX"/>
    <tableColumn id="9" xr3:uid="{8EC6130B-87B6-4BDC-BACA-B5702A8E9770}" name="LIBERAL DEMOCRACY INDEX"/>
    <tableColumn id="10" xr3:uid="{30EA3BFF-B648-4A44-BCEE-A0B52C4DD51B}" name="RSF PRESS FREEDOM INDEX"/>
  </tableColumns>
  <tableStyleInfo name="TableStyleMedium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83FF2B4-3943-4BD5-BD70-0240E17AC921}" name="VariablesG_Serbia" displayName="VariablesG_Serbia" ref="A44:J55" totalsRowShown="0" headerRowDxfId="14">
  <autoFilter ref="A44:J55" xr:uid="{883FF2B4-3943-4BD5-BD70-0240E17AC921}"/>
  <tableColumns count="10">
    <tableColumn id="1" xr3:uid="{8F16F9C4-C6C5-4AA1-8F66-3EAB49EE1653}" name="YEAR"/>
    <tableColumn id="2" xr3:uid="{FF6AE9EF-6068-41ED-AD07-E0858F3DB651}" name="HUMAN FREEDOM INDEX"/>
    <tableColumn id="3" xr3:uid="{B47F4174-7A3F-4656-ABF7-06EE602A88A6}" name="CIVIL SOCIETY PARTICIPATION INDEX"/>
    <tableColumn id="4" xr3:uid="{54AAA609-6F3C-4DB0-A64D-49B4C31ADB4D}" name="POLITICAL STABILITY INDEX"/>
    <tableColumn id="5" xr3:uid="{C2A10BDB-EFC8-454F-A721-6B7CFA76F6D8}" name="ACADEMIC FREEDOM INDEX"/>
    <tableColumn id="6" xr3:uid="{53814FD4-093C-4251-8947-6BB5944912C7}" name="ECONOMIC FREEDOM INDEX"/>
    <tableColumn id="7" xr3:uid="{6B8C6AEA-64A2-4A0C-BFCE-15B62968357A}" name="DEMOCRACY INDEX"/>
    <tableColumn id="8" xr3:uid="{2BA852C6-BFB2-4B3C-9FCD-E2A811067339}" name="ELECTORAL DEMOCRACY INDEX"/>
    <tableColumn id="9" xr3:uid="{DA292F84-E5B8-46D6-8113-25F823C50C0C}" name="LIBERAL DEMOCRACY INDEX"/>
    <tableColumn id="10" xr3:uid="{4E5570DC-C24B-4588-8DC2-43BA55E2F070}" name="RSF PRESS FREEDOM INDEX"/>
  </tableColumns>
  <tableStyleInfo name="TableStyleMedium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9E9D820-4896-4816-A8A8-425FE6399FDD}" name="VariablesG_Macedonia" displayName="VariablesG_Macedonia" ref="A58:J69" totalsRowShown="0" headerRowDxfId="13">
  <autoFilter ref="A58:J69" xr:uid="{19E9D820-4896-4816-A8A8-425FE6399FDD}"/>
  <tableColumns count="10">
    <tableColumn id="1" xr3:uid="{5FA4E30C-99A5-40F8-B5D4-B5F535EAC872}" name="YEAR"/>
    <tableColumn id="2" xr3:uid="{ECEF368C-A095-499F-A71D-B1356FBB89C5}" name="HUMAN FREEDOM INDEX"/>
    <tableColumn id="3" xr3:uid="{F25CB61D-C3BC-4E50-9D36-9C4F8454BCC0}" name="CIVIL SOCIETY PARTICIPATION INDEX"/>
    <tableColumn id="4" xr3:uid="{1E42A647-EFF7-4C11-9C40-5C7829E883B3}" name="POLITICAL STABILITY INDEX"/>
    <tableColumn id="5" xr3:uid="{DB435A88-2E46-479C-9595-228224BC8E9A}" name="ACADEMIC FREEDOM INDEX"/>
    <tableColumn id="6" xr3:uid="{44E5E997-409A-4EDE-8C39-F54703C52BB5}" name="ECONOMIC FREEDOM INDEX"/>
    <tableColumn id="7" xr3:uid="{DA589D5D-B417-4CE0-AEF5-40C02CA6E7FA}" name="DEMOCRACY INDEX"/>
    <tableColumn id="8" xr3:uid="{10ACC60C-4257-4796-BA48-4F567338623F}" name="ELECTORAL DEMOCRACY INDEX"/>
    <tableColumn id="9" xr3:uid="{FD7DE37E-D2B6-4BFD-878F-AB6CF1CAA988}" name="LIBERAL DEMOCRACY INDEX"/>
    <tableColumn id="10" xr3:uid="{01B15DF5-3A40-44BE-A4C6-36C1AD09A742}" name="RSF PRESS FREEDOM INDEX"/>
  </tableColumns>
  <tableStyleInfo name="TableStyleMedium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947FEA5-43D8-4F08-B6F4-35430897D2CF}" name="VariablesG_Hungary" displayName="VariablesG_Hungary" ref="A72:J83" totalsRowShown="0" headerRowDxfId="12">
  <autoFilter ref="A72:J83" xr:uid="{0947FEA5-43D8-4F08-B6F4-35430897D2CF}"/>
  <tableColumns count="10">
    <tableColumn id="1" xr3:uid="{8DE5D337-D452-47E2-A71D-D7110278FCEC}" name="YEAR"/>
    <tableColumn id="2" xr3:uid="{A6F8C5A8-C189-42EA-BCE4-F43654AB3D3F}" name="HUMAN FREEDOM INDEX"/>
    <tableColumn id="3" xr3:uid="{A2B5C963-64B6-4679-B263-02C54717A07C}" name="CIVIL SOCIETY PARTICIPATION INDEX"/>
    <tableColumn id="4" xr3:uid="{4B630BB4-6F92-42C6-8AD8-C9092BA54719}" name="POLITICAL STABILITY INDEX"/>
    <tableColumn id="5" xr3:uid="{E2890766-D410-4FE3-914F-EF4EC17F8EA3}" name="ACADEMIC FREEDOM INDEX"/>
    <tableColumn id="6" xr3:uid="{62FE1140-28DD-4983-8289-74D64C95BB55}" name="ECONOMIC FREEDOM INDEX"/>
    <tableColumn id="7" xr3:uid="{E87A01FE-DA9C-40BB-AA8D-7891CE54168D}" name="DEMOCRACY INDEX"/>
    <tableColumn id="8" xr3:uid="{4E69F294-162C-419C-9ADD-1F2737625337}" name="ELECTORAL DEMOCRACY INDEX"/>
    <tableColumn id="9" xr3:uid="{14999321-8440-490C-B9B4-A44A8FBA1D19}" name="LIBERAL DEMOCRACY INDEX"/>
    <tableColumn id="10" xr3:uid="{CBC8ACC6-C28D-432D-9A01-C393A97D2914}" name="RSF PRESS FREEDOM INDEX"/>
  </tableColumns>
  <tableStyleInfo name="TableStyleMedium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43E5663-A44F-4049-820A-A4A425274887}" name="VariablesG_Montenegro" displayName="VariablesG_Montenegro" ref="A86:J97" totalsRowShown="0" headerRowDxfId="11">
  <autoFilter ref="A86:J97" xr:uid="{643E5663-A44F-4049-820A-A4A425274887}"/>
  <tableColumns count="10">
    <tableColumn id="1" xr3:uid="{4DBE7D94-8FF0-4724-A004-A7B7FC4CB1DB}" name="YEAR"/>
    <tableColumn id="2" xr3:uid="{F7D62884-A7ED-400D-B019-1511219410B5}" name="HUMAN FREEDOM INDEX"/>
    <tableColumn id="3" xr3:uid="{D9D84259-712F-497E-9C24-7FE01B3793DD}" name="CIVIL SOCIETY PARTICIPATION INDEX"/>
    <tableColumn id="4" xr3:uid="{5416E625-9FEC-4F9F-B3ED-5CE3743F29B4}" name="POLITICAL STABILITY INDEX"/>
    <tableColumn id="5" xr3:uid="{742D16B4-F647-4FF5-84F4-0BEB7E66C808}" name="ACADEMIC FREEDOM INDEX"/>
    <tableColumn id="6" xr3:uid="{C75EB404-3F43-4DA4-B70C-71B48CECA684}" name="ECONOMIC FREEDOM INDEX"/>
    <tableColumn id="7" xr3:uid="{E73BDD28-F324-41D2-AE6E-DE5D3A4257CA}" name="DEMOCRACY INDEX"/>
    <tableColumn id="8" xr3:uid="{2753EBFA-ADD3-42EE-9086-CCC649BA4F4F}" name="ELECTORAL DEMOCRACY INDEX"/>
    <tableColumn id="9" xr3:uid="{6835603E-B4E1-46D2-A1B9-0272D808D7DE}" name="LIBERAL DEMOCRACY INDEX"/>
    <tableColumn id="10" xr3:uid="{B1CE1083-CFC7-47B3-81FD-B38C1EC6BB4B}" name="RSF PRESS FREEDOM INDEX"/>
  </tableColumns>
  <tableStyleInfo name="TableStyleMedium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C7BC998-C750-448E-8DA0-D1465CA33F1E}" name="VariablesG_Albania" displayName="VariablesG_Albania" ref="A100:J111" totalsRowShown="0" headerRowDxfId="10">
  <autoFilter ref="A100:J111" xr:uid="{1C7BC998-C750-448E-8DA0-D1465CA33F1E}"/>
  <tableColumns count="10">
    <tableColumn id="1" xr3:uid="{56DCED7D-241F-4D81-8290-2FABF0C2D326}" name="YEAR"/>
    <tableColumn id="2" xr3:uid="{ACCE73DD-F37D-40E8-A0ED-D50F3433B35C}" name="HUMAN FREEDOM INDEX"/>
    <tableColumn id="3" xr3:uid="{E9EC0C70-47E8-4151-93F6-2D8D8FDE5838}" name="CIVIL SOCIETY PARTICIPATION INDEX"/>
    <tableColumn id="4" xr3:uid="{AD539B52-2FA6-4143-B252-079EC8903E7D}" name="POLITICAL STABILITY INDEX"/>
    <tableColumn id="5" xr3:uid="{3C359A61-20C9-49F6-A4A9-2AC126E8D2D3}" name="ACADEMIC FREEDOM INDEX"/>
    <tableColumn id="6" xr3:uid="{1A3426B2-6D35-4DB6-945A-5B5CCBD8C7DE}" name="ECONOMIC FREEDOM INDEX"/>
    <tableColumn id="7" xr3:uid="{ED8D9815-7C52-4F23-92D2-5DFBD40FFD26}" name="DEMOCRACY INDEX"/>
    <tableColumn id="8" xr3:uid="{8BA2B6DC-A2FC-4A90-AF40-3C873A11CE44}" name="ELECTORAL DEMOCRACY INDEX"/>
    <tableColumn id="9" xr3:uid="{5F491D19-E611-46A6-BB8B-339260494D84}" name="LIBERAL DEMOCRACY INDEX"/>
    <tableColumn id="10" xr3:uid="{663C613B-7E0A-4207-8F45-9F0E998AB06D}" name="RSF PRESS FREEDOM INDEX"/>
  </tableColumns>
  <tableStyleInfo name="TableStyleMedium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554E8A3-D50D-4C7A-BBF2-9909E6432A69}" name="VariablesG_Total" displayName="VariablesG_Total" ref="A114:J125" totalsRowShown="0" headerRowDxfId="9">
  <autoFilter ref="A114:J125" xr:uid="{F554E8A3-D50D-4C7A-BBF2-9909E6432A69}"/>
  <tableColumns count="10">
    <tableColumn id="1" xr3:uid="{9099A24F-6308-4A08-9F0E-3D6CDE3E6529}" name="YEAR"/>
    <tableColumn id="2" xr3:uid="{C8724AF3-4143-4A2E-A889-D85337B16DD6}" name="HUMAN FREEDOM INDEX" dataDxfId="8"/>
    <tableColumn id="3" xr3:uid="{45645B3D-4203-4DC8-84C7-1F76E1126103}" name="CIVIL SOCIETY PARTICIPATION INDEX" dataDxfId="7"/>
    <tableColumn id="4" xr3:uid="{14A90BF8-418C-40D6-A04D-8E1BDF4270A0}" name="POLITICAL STABILITY INDEX" dataDxfId="6"/>
    <tableColumn id="5" xr3:uid="{1A40D365-4D31-48CD-B762-DFBE49DB2E8A}" name="ACADEMIC FREEDOM INDEX" dataDxfId="5"/>
    <tableColumn id="6" xr3:uid="{4ACA5875-A431-4420-A20E-007EC7F825F7}" name="ECONOMIC FREEDOM INDEX" dataDxfId="4"/>
    <tableColumn id="7" xr3:uid="{7788676F-7E93-4751-860F-D460A4898AF4}" name="DEMOCRACY INDEX" dataDxfId="3"/>
    <tableColumn id="8" xr3:uid="{D4515965-CC39-440B-B41E-84F65450FAE7}" name="ELECTORAL DEMOCRACY INDEX" dataDxfId="2"/>
    <tableColumn id="9" xr3:uid="{60EBDCC4-6EBB-4388-9930-0AAF646E70D2}" name="LIBERAL DEMOCRACY INDEX" dataDxfId="1"/>
    <tableColumn id="10" xr3:uid="{4DC67528-3E25-4865-A4F8-C5970C92C9B0}" name="RSF PRESS FREEDOM INDEX"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aljazeera.com/" TargetMode="External"/><Relationship Id="rId18" Type="http://schemas.openxmlformats.org/officeDocument/2006/relationships/hyperlink" Target="https://www.hrw.org/" TargetMode="External"/><Relationship Id="rId26" Type="http://schemas.openxmlformats.org/officeDocument/2006/relationships/hyperlink" Target="https://www.eumonitor.eu/" TargetMode="External"/><Relationship Id="rId39" Type="http://schemas.openxmlformats.org/officeDocument/2006/relationships/hyperlink" Target="https://mb.gov.al/en/" TargetMode="External"/><Relationship Id="rId21" Type="http://schemas.openxmlformats.org/officeDocument/2006/relationships/hyperlink" Target="https://www.amnesty.org/en/" TargetMode="External"/><Relationship Id="rId34" Type="http://schemas.openxmlformats.org/officeDocument/2006/relationships/hyperlink" Target="https://www.gov.me/en" TargetMode="External"/><Relationship Id="rId42" Type="http://schemas.openxmlformats.org/officeDocument/2006/relationships/hyperlink" Target="https://www.mondaq.com/" TargetMode="External"/><Relationship Id="rId47" Type="http://schemas.openxmlformats.org/officeDocument/2006/relationships/hyperlink" Target="https://pace.coe.int/" TargetMode="External"/><Relationship Id="rId50" Type="http://schemas.openxmlformats.org/officeDocument/2006/relationships/hyperlink" Target="https://www.kuvendikosoves.org/eng/home/" TargetMode="External"/><Relationship Id="rId55" Type="http://schemas.openxmlformats.org/officeDocument/2006/relationships/printerSettings" Target="../printerSettings/printerSettings1.bin"/><Relationship Id="rId7" Type="http://schemas.openxmlformats.org/officeDocument/2006/relationships/hyperlink" Target="https://emn.gov.hr/en" TargetMode="External"/><Relationship Id="rId2" Type="http://schemas.openxmlformats.org/officeDocument/2006/relationships/hyperlink" Target="https://www.refworld.org/" TargetMode="External"/><Relationship Id="rId16" Type="http://schemas.openxmlformats.org/officeDocument/2006/relationships/hyperlink" Target="https://hudoc.echr.coe.int/" TargetMode="External"/><Relationship Id="rId29" Type="http://schemas.openxmlformats.org/officeDocument/2006/relationships/hyperlink" Target="https://www.eeas.europa.eu/_en" TargetMode="External"/><Relationship Id="rId11" Type="http://schemas.openxmlformats.org/officeDocument/2006/relationships/hyperlink" Target="https://www.dw.com/en" TargetMode="External"/><Relationship Id="rId24" Type="http://schemas.openxmlformats.org/officeDocument/2006/relationships/hyperlink" Target="https://kirs.gov.rs/eng" TargetMode="External"/><Relationship Id="rId32" Type="http://schemas.openxmlformats.org/officeDocument/2006/relationships/hyperlink" Target="https://www.fragomen.com/" TargetMode="External"/><Relationship Id="rId37" Type="http://schemas.openxmlformats.org/officeDocument/2006/relationships/hyperlink" Target="https://mena-studies.org/" TargetMode="External"/><Relationship Id="rId40" Type="http://schemas.openxmlformats.org/officeDocument/2006/relationships/hyperlink" Target="https://mpb.rks-gov.net/" TargetMode="External"/><Relationship Id="rId45" Type="http://schemas.openxmlformats.org/officeDocument/2006/relationships/hyperlink" Target="https://gzk.rks-gov.net/Default.aspx?index=1&amp;index=1" TargetMode="External"/><Relationship Id="rId53" Type="http://schemas.openxmlformats.org/officeDocument/2006/relationships/hyperlink" Target="https://northmacedonia.un.org/en" TargetMode="External"/><Relationship Id="rId5" Type="http://schemas.openxmlformats.org/officeDocument/2006/relationships/hyperlink" Target="https://balkaninsight.com/" TargetMode="External"/><Relationship Id="rId10" Type="http://schemas.openxmlformats.org/officeDocument/2006/relationships/hyperlink" Target="https://asylumineurope.org/" TargetMode="External"/><Relationship Id="rId19" Type="http://schemas.openxmlformats.org/officeDocument/2006/relationships/hyperlink" Target="https://msb.gov.ba/default.aspx?pageIndex=1&amp;langTag=en-US" TargetMode="External"/><Relationship Id="rId31" Type="http://schemas.openxmlformats.org/officeDocument/2006/relationships/hyperlink" Target="https://www.euaa.europa.eu/" TargetMode="External"/><Relationship Id="rId44" Type="http://schemas.openxmlformats.org/officeDocument/2006/relationships/hyperlink" Target="https://natlex.ilo.org/" TargetMode="External"/><Relationship Id="rId52" Type="http://schemas.openxmlformats.org/officeDocument/2006/relationships/hyperlink" Target="https://www.unhcr.org/" TargetMode="External"/><Relationship Id="rId4" Type="http://schemas.openxmlformats.org/officeDocument/2006/relationships/hyperlink" Target="https://www.gov.si/en" TargetMode="External"/><Relationship Id="rId9" Type="http://schemas.openxmlformats.org/officeDocument/2006/relationships/hyperlink" Target="https://www.iom.int/" TargetMode="External"/><Relationship Id="rId14" Type="http://schemas.openxmlformats.org/officeDocument/2006/relationships/hyperlink" Target="https://www.osw.waw.pl/en" TargetMode="External"/><Relationship Id="rId22" Type="http://schemas.openxmlformats.org/officeDocument/2006/relationships/hyperlink" Target="https://www.kuvendikosoves.org/eng/home/" TargetMode="External"/><Relationship Id="rId27" Type="http://schemas.openxmlformats.org/officeDocument/2006/relationships/hyperlink" Target="https://www.euractiv.com/" TargetMode="External"/><Relationship Id="rId30" Type="http://schemas.openxmlformats.org/officeDocument/2006/relationships/hyperlink" Target="https://www.statelessness.eu/" TargetMode="External"/><Relationship Id="rId35" Type="http://schemas.openxmlformats.org/officeDocument/2006/relationships/hyperlink" Target="https://immigratetoserbia.com/" TargetMode="External"/><Relationship Id="rId43" Type="http://schemas.openxmlformats.org/officeDocument/2006/relationships/hyperlink" Target="https://journals.uni-goettingen.de/movements/index" TargetMode="External"/><Relationship Id="rId48" Type="http://schemas.openxmlformats.org/officeDocument/2006/relationships/hyperlink" Target="https://www.politico.eu/" TargetMode="External"/><Relationship Id="rId56" Type="http://schemas.openxmlformats.org/officeDocument/2006/relationships/table" Target="../tables/table1.xml"/><Relationship Id="rId8" Type="http://schemas.openxmlformats.org/officeDocument/2006/relationships/hyperlink" Target="https://apnews.com/" TargetMode="External"/><Relationship Id="rId51" Type="http://schemas.openxmlformats.org/officeDocument/2006/relationships/hyperlink" Target="https://sloveniatimes.com/" TargetMode="External"/><Relationship Id="rId3" Type="http://schemas.openxmlformats.org/officeDocument/2006/relationships/hyperlink" Target="https://www.theguardian.com/" TargetMode="External"/><Relationship Id="rId12" Type="http://schemas.openxmlformats.org/officeDocument/2006/relationships/hyperlink" Target="https://www.reuters.com/" TargetMode="External"/><Relationship Id="rId17" Type="http://schemas.openxmlformats.org/officeDocument/2006/relationships/hyperlink" Target="https://www.srbija.gov.rs/" TargetMode="External"/><Relationship Id="rId25" Type="http://schemas.openxmlformats.org/officeDocument/2006/relationships/hyperlink" Target="https://www.coe.int/en/web/portal" TargetMode="External"/><Relationship Id="rId33" Type="http://schemas.openxmlformats.org/officeDocument/2006/relationships/hyperlink" Target="https://www.globaldetentionproject.org/" TargetMode="External"/><Relationship Id="rId38" Type="http://schemas.openxmlformats.org/officeDocument/2006/relationships/hyperlink" Target="https://mvp.gov.ba/en" TargetMode="External"/><Relationship Id="rId46" Type="http://schemas.openxmlformats.org/officeDocument/2006/relationships/hyperlink" Target="https://www.skupstina.me/en/parliament/about-the-parliament" TargetMode="External"/><Relationship Id="rId20" Type="http://schemas.openxmlformats.org/officeDocument/2006/relationships/hyperlink" Target="https://time.com/" TargetMode="External"/><Relationship Id="rId41" Type="http://schemas.openxmlformats.org/officeDocument/2006/relationships/hyperlink" Target="https://www.minrzs.gov.rs/srb-lat" TargetMode="External"/><Relationship Id="rId54" Type="http://schemas.openxmlformats.org/officeDocument/2006/relationships/hyperlink" Target="https://wpsfocalpointsnetwork.org/" TargetMode="External"/><Relationship Id="rId1" Type="http://schemas.openxmlformats.org/officeDocument/2006/relationships/hyperlink" Target="https://home-affairs.ec.europa.eu/index_en" TargetMode="External"/><Relationship Id="rId6" Type="http://schemas.openxmlformats.org/officeDocument/2006/relationships/hyperlink" Target="https://ecre.org/" TargetMode="External"/><Relationship Id="rId15" Type="http://schemas.openxmlformats.org/officeDocument/2006/relationships/hyperlink" Target="https://www.consilium.europa.eu/en/council-eu/" TargetMode="External"/><Relationship Id="rId23" Type="http://schemas.openxmlformats.org/officeDocument/2006/relationships/hyperlink" Target="https://cadenaser.com/" TargetMode="External"/><Relationship Id="rId28" Type="http://schemas.openxmlformats.org/officeDocument/2006/relationships/hyperlink" Target="https://www.ecchr.eu/en/" TargetMode="External"/><Relationship Id="rId36" Type="http://schemas.openxmlformats.org/officeDocument/2006/relationships/hyperlink" Target="https://advokatskafirmasajic.com/blog/" TargetMode="External"/><Relationship Id="rId49" Type="http://schemas.openxmlformats.org/officeDocument/2006/relationships/hyperlink" Target="https://reliefweb.int/"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emn.gov.hr/UserDocsImages/EMN_kratka_izvjesca/2016_emn_country_factsheet_hr_final.pdf" TargetMode="External"/><Relationship Id="rId13" Type="http://schemas.openxmlformats.org/officeDocument/2006/relationships/hyperlink" Target="https://www.consilium.europa.eu/en/press/press-releases/2022/12/08/schengen-area-council-decides-to-lift-border-controls-with-croatia" TargetMode="External"/><Relationship Id="rId18" Type="http://schemas.openxmlformats.org/officeDocument/2006/relationships/hyperlink" Target="https://balkaninsight.com/2024/09/19/croatias-capital-opens-one-stop-shop-for-refugees-asylum-seekers/" TargetMode="External"/><Relationship Id="rId26" Type="http://schemas.openxmlformats.org/officeDocument/2006/relationships/hyperlink" Target="https://ecre.org/aida-country-report-on-croatia-2023-update" TargetMode="External"/><Relationship Id="rId3" Type="http://schemas.openxmlformats.org/officeDocument/2006/relationships/hyperlink" Target="https://emn.gov.hr/UserDocsImages/EMN_kratka_izvjesca/2015_emn_country_factsheet_hr_final.pdf" TargetMode="External"/><Relationship Id="rId21" Type="http://schemas.openxmlformats.org/officeDocument/2006/relationships/hyperlink" Target="https://www.ecchr.eu/en/press-release/refugees-file-lawsuit-to-croatias-constitutional-court/" TargetMode="External"/><Relationship Id="rId7" Type="http://schemas.openxmlformats.org/officeDocument/2006/relationships/hyperlink" Target="https://www.theguardian.com/world/2016/mar/09/slovenia-and-croatia-ban-the-transit-of-refugees" TargetMode="External"/><Relationship Id="rId12" Type="http://schemas.openxmlformats.org/officeDocument/2006/relationships/hyperlink" Target="https://www.ecre.org/wp-content/uploads/2020/05/COVID-INFO-28-May.pdf" TargetMode="External"/><Relationship Id="rId17" Type="http://schemas.openxmlformats.org/officeDocument/2006/relationships/hyperlink" Target="https://balkaninsight.com/2023/05/23/bosnia-data-contradicts-croatian-claim-about-migrant-refugee-readmissions" TargetMode="External"/><Relationship Id="rId25" Type="http://schemas.openxmlformats.org/officeDocument/2006/relationships/hyperlink" Target="https://pace.coe.int/en/files/30216/html" TargetMode="External"/><Relationship Id="rId2" Type="http://schemas.openxmlformats.org/officeDocument/2006/relationships/hyperlink" Target="https://emn.gov.hr/UserDocsImages/EMN_kratka_izvjesca/2015_emn_country_factsheet_hr_final.pdf" TargetMode="External"/><Relationship Id="rId16" Type="http://schemas.openxmlformats.org/officeDocument/2006/relationships/hyperlink" Target="https://www.hrw.org/news/2023/05/03/croatia-ongoing-violent-border-pushbacks" TargetMode="External"/><Relationship Id="rId20" Type="http://schemas.openxmlformats.org/officeDocument/2006/relationships/hyperlink" Target="https://ecre.org/2022-update-aida-country-report-croatia/" TargetMode="External"/><Relationship Id="rId1" Type="http://schemas.openxmlformats.org/officeDocument/2006/relationships/hyperlink" Target="https://balkaninsight.com/2015/07/16/croatia-to-receive-and-accommodate-550-refugees" TargetMode="External"/><Relationship Id="rId6" Type="http://schemas.openxmlformats.org/officeDocument/2006/relationships/hyperlink" Target="https://emn.gov.hr/UserDocsImages/EMN_kratka_izvjesca/2015_emn_country_factsheet_hr_final.pdf" TargetMode="External"/><Relationship Id="rId11" Type="http://schemas.openxmlformats.org/officeDocument/2006/relationships/hyperlink" Target="https://www.ecre.org/wp-content/uploads/2020/05/COVID-INFO-28-May.pdf" TargetMode="External"/><Relationship Id="rId24" Type="http://schemas.openxmlformats.org/officeDocument/2006/relationships/hyperlink" Target="https://time.com/4039742/croatia-border-crossings-closed-refugees-migrant-crisis" TargetMode="External"/><Relationship Id="rId5" Type="http://schemas.openxmlformats.org/officeDocument/2006/relationships/hyperlink" Target="https://emn.gov.hr/UserDocsImages/EMN_kratka_izvjesca/2015_emn_country_factsheet_hr_final.pdf" TargetMode="External"/><Relationship Id="rId15" Type="http://schemas.openxmlformats.org/officeDocument/2006/relationships/hyperlink" Target="https://asylumineurope.org/reports/country/croatia/asylum-procedure/access-procedure-and-registration/access-territory-and-push-backs" TargetMode="External"/><Relationship Id="rId23" Type="http://schemas.openxmlformats.org/officeDocument/2006/relationships/hyperlink" Target="https://hudoc.echr.coe.int/eng" TargetMode="External"/><Relationship Id="rId28" Type="http://schemas.openxmlformats.org/officeDocument/2006/relationships/table" Target="../tables/table2.xml"/><Relationship Id="rId10" Type="http://schemas.openxmlformats.org/officeDocument/2006/relationships/hyperlink" Target="https://balkaninsight.com/2019/05/10/croatia-war-veterans-threaten-block-roads-over-asylum-centre" TargetMode="External"/><Relationship Id="rId19" Type="http://schemas.openxmlformats.org/officeDocument/2006/relationships/hyperlink" Target="https://www.theguardian.com/global-development/2024/oct/10/photos-croatia-police-phones-passports-asylum-seekers" TargetMode="External"/><Relationship Id="rId4" Type="http://schemas.openxmlformats.org/officeDocument/2006/relationships/hyperlink" Target="https://emn.gov.hr/UserDocsImages/EMN_kratka_izvjesca/2015_emn_country_factsheet_hr_final.pdf" TargetMode="External"/><Relationship Id="rId9" Type="http://schemas.openxmlformats.org/officeDocument/2006/relationships/hyperlink" Target="https://www.theguardian.com/world/2018/dec/17/croatia-violating-eu-law-by-sending-back-asylum-seekers-to-bosnia" TargetMode="External"/><Relationship Id="rId14" Type="http://schemas.openxmlformats.org/officeDocument/2006/relationships/hyperlink" Target="https://emn.gov.hr/news/amendments-to-international-and-temporary-protection-act-entered-into-force/964" TargetMode="External"/><Relationship Id="rId22" Type="http://schemas.openxmlformats.org/officeDocument/2006/relationships/hyperlink" Target="https://hudoc.echr.coe.int/fre" TargetMode="External"/><Relationship Id="rId27" Type="http://schemas.openxmlformats.org/officeDocument/2006/relationships/hyperlink" Target="https://asylumineurope.org/reports/country/croatia/asylum-procedure/access-procedure-and-registration/access-territory-and-push-backs/"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hyperlink" Target="https://advokatskafirmasajic.com/blog/the-law-on-amendments-to-the-law-on-foreigners-of-bih-published-in-the-official-gazette-of-bih-no-63-of-15-september-2023-entered-into-force-on-september-23-2023/" TargetMode="External"/><Relationship Id="rId13" Type="http://schemas.openxmlformats.org/officeDocument/2006/relationships/hyperlink" Target="https://balkaninsight.com/2022/12/09/bosnia-to-tighten-border-controls-in-line-with-eu-demands/" TargetMode="External"/><Relationship Id="rId18" Type="http://schemas.openxmlformats.org/officeDocument/2006/relationships/hyperlink" Target="https://mvp.gov.ba/HTML/PDFDoc/Konzularno/Rulebook%20on%20entry%20and%20stay%20of%20aliens.pdf" TargetMode="External"/><Relationship Id="rId3" Type="http://schemas.openxmlformats.org/officeDocument/2006/relationships/hyperlink" Target="http://refworld.org/legal/legislation/natlegbod/2016/en/123253" TargetMode="External"/><Relationship Id="rId21" Type="http://schemas.openxmlformats.org/officeDocument/2006/relationships/hyperlink" Target="https://enlargement.ec.europa.eu/document/download/b20c3204-68d0-47e7-b344-5e2562a3adce_en" TargetMode="External"/><Relationship Id="rId7" Type="http://schemas.openxmlformats.org/officeDocument/2006/relationships/hyperlink" Target="https://msb.gov.ba/PDF/120120244.pdf" TargetMode="External"/><Relationship Id="rId12" Type="http://schemas.openxmlformats.org/officeDocument/2006/relationships/hyperlink" Target="https://www.hrw.org/news/2021/01/21/bosnia-and-herzegovina-migrants-left-cold" TargetMode="External"/><Relationship Id="rId17" Type="http://schemas.openxmlformats.org/officeDocument/2006/relationships/hyperlink" Target="https://enlargement.ec.europa.eu/document/download/451db011-6779-40ea-b34b-a0eeda451746_en?filename=Bosnia+and+Herzegovina+Report+2024.pdf" TargetMode="External"/><Relationship Id="rId2" Type="http://schemas.openxmlformats.org/officeDocument/2006/relationships/hyperlink" Target="https://wpsfocalpointsnetwork.org/wp-content/uploads/2021/07/Bosnia-and-Herzegovina-2018-2022.pdf" TargetMode="External"/><Relationship Id="rId16" Type="http://schemas.openxmlformats.org/officeDocument/2006/relationships/hyperlink" Target="https://enlargement.ec.europa.eu/document/download/fa9da504-4ecb-4317-b583-c9fff0b833b2_en" TargetMode="External"/><Relationship Id="rId20" Type="http://schemas.openxmlformats.org/officeDocument/2006/relationships/hyperlink" Target="https://enlargement.ec.europa.eu/system/files/2018-12/20161109_report_bosnia_and_herzegovina.pdf" TargetMode="External"/><Relationship Id="rId1" Type="http://schemas.openxmlformats.org/officeDocument/2006/relationships/hyperlink" Target="https://natlex.ilo.org/dyn/natlex2/r/natlex/fe/details?cs=1MZCSFvcFNOJzO2BZ-hVVIe0Pom8NnVD4UDhECJUW3BS3jUcfc-cD-IeRktfzNGsdyLUUWiI2-tXi6ydcI-43Rg&amp;p3_isn=102209" TargetMode="External"/><Relationship Id="rId6" Type="http://schemas.openxmlformats.org/officeDocument/2006/relationships/hyperlink" Target="https://www.refworld.org/legal/decreees/natlegbod/2021/bs/147521" TargetMode="External"/><Relationship Id="rId11" Type="http://schemas.openxmlformats.org/officeDocument/2006/relationships/hyperlink" Target="https://bih.iom.int/news/european-union-supports-establishment-new-temporary-reception-centre-lipa" TargetMode="External"/><Relationship Id="rId5" Type="http://schemas.openxmlformats.org/officeDocument/2006/relationships/hyperlink" Target="https://msb.gov.ba/vijesti/saopstenja/default.aspx?id=14351&amp;langTag=en-US" TargetMode="External"/><Relationship Id="rId15" Type="http://schemas.openxmlformats.org/officeDocument/2006/relationships/hyperlink" Target="https://balkaninsight.com/2018/06/19/bosnia-s-police-border-getting-new-200-members-06-19-2018" TargetMode="External"/><Relationship Id="rId10" Type="http://schemas.openxmlformats.org/officeDocument/2006/relationships/hyperlink" Target="https://balkaninsight.com/2020/12/23/bosnias-troubled-lipa-camp-set-alight-on-closure-day/" TargetMode="External"/><Relationship Id="rId19" Type="http://schemas.openxmlformats.org/officeDocument/2006/relationships/hyperlink" Target="https://enlargement.ec.europa.eu/enlargement-policy/bosnia-and-herzegovina_en" TargetMode="External"/><Relationship Id="rId4" Type="http://schemas.openxmlformats.org/officeDocument/2006/relationships/hyperlink" Target="https://www.refworld.org/legal/legislation/natlegbod/2016/en/123226" TargetMode="External"/><Relationship Id="rId9" Type="http://schemas.openxmlformats.org/officeDocument/2006/relationships/hyperlink" Target="https://movements-journal.org/issues/08.balkanroute/08.hromadzic--notes-from-the-field.html" TargetMode="External"/><Relationship Id="rId14" Type="http://schemas.openxmlformats.org/officeDocument/2006/relationships/hyperlink" Target="https://www.euractiv.com/section/politics/news/migrants-take-new-balkan-route-through-bosnia" TargetMode="External"/><Relationship Id="rId22"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8" Type="http://schemas.openxmlformats.org/officeDocument/2006/relationships/hyperlink" Target="https://www.minrzs.gov.rs/sites/default/files/2021-02/ENG_%20Strategija%20ekonomske%20migracije%202021-2027-30_10%20%28002%29.pdf" TargetMode="External"/><Relationship Id="rId13" Type="http://schemas.openxmlformats.org/officeDocument/2006/relationships/hyperlink" Target="https://kirs.gov.rs/eng/asylum/overview-of-activities-during-the-increased-influx-of-migrants" TargetMode="External"/><Relationship Id="rId18" Type="http://schemas.openxmlformats.org/officeDocument/2006/relationships/hyperlink" Target="https://www.aljazeera.com/news/2015/9/25/tensions-between-croatia-and-serbia-rise-over-refugees" TargetMode="External"/><Relationship Id="rId3" Type="http://schemas.openxmlformats.org/officeDocument/2006/relationships/hyperlink" Target="https://www.refworld.org/legal/legislation/natlegbod/2018/en/123545" TargetMode="External"/><Relationship Id="rId21" Type="http://schemas.openxmlformats.org/officeDocument/2006/relationships/hyperlink" Target="https://home-affairs.ec.europa.eu/news/serbia-becomes-observer-country-european-migration-network-2023-03-16_en" TargetMode="External"/><Relationship Id="rId7" Type="http://schemas.openxmlformats.org/officeDocument/2006/relationships/hyperlink" Target="https://balkaninsight.com/2020/03/17/serbia-restricts-movement-for-migrants-asylum-seekers" TargetMode="External"/><Relationship Id="rId12" Type="http://schemas.openxmlformats.org/officeDocument/2006/relationships/hyperlink" Target="https://immigratetoserbia.com/streamlining-work-permits-and-residence-for-foreigners-in-serbia-recent-legislative-changes" TargetMode="External"/><Relationship Id="rId17" Type="http://schemas.openxmlformats.org/officeDocument/2006/relationships/hyperlink" Target="https://ecre.org/balkan-route-increased-arrivals-in-serbia-amid-evictions-and-raids-croatia-slovenia-and-austria-introduce-internal-border-checks-to-curb-migration-migrants-report-being-treated-like-anima/" TargetMode="External"/><Relationship Id="rId25" Type="http://schemas.openxmlformats.org/officeDocument/2006/relationships/table" Target="../tables/table6.xml"/><Relationship Id="rId2" Type="http://schemas.openxmlformats.org/officeDocument/2006/relationships/hyperlink" Target="https://www.unhcr.org/mt/3087-unhcr-chief-says-absolute-nonsense-blame-refugees-terror.html" TargetMode="External"/><Relationship Id="rId16" Type="http://schemas.openxmlformats.org/officeDocument/2006/relationships/hyperlink" Target="https://www.theguardian.com/global-development/2024/feb/22/videos-show-migrants-stripped-of-clothing-in-freezing-temperatures-at-serbian-border" TargetMode="External"/><Relationship Id="rId20" Type="http://schemas.openxmlformats.org/officeDocument/2006/relationships/hyperlink" Target="https://asylumineurope.org/reports/country/serbia/overview-main-changes-previous-report-update/" TargetMode="External"/><Relationship Id="rId1" Type="http://schemas.openxmlformats.org/officeDocument/2006/relationships/hyperlink" Target="https://www.iom.int/sites/g/files/tmzbdl2616/files/country_appeal/file/IOM-European-Migration-Crisis-WB-Response-Plan-Appeal.pdf" TargetMode="External"/><Relationship Id="rId6" Type="http://schemas.openxmlformats.org/officeDocument/2006/relationships/hyperlink" Target="https://reliefweb.int/report/serbia/between-closed-borders-2020-21-joint-agency-paper-refugees-and-migrants-serbia-2020" TargetMode="External"/><Relationship Id="rId11" Type="http://schemas.openxmlformats.org/officeDocument/2006/relationships/hyperlink" Target="https://apnews.com/article/583b81ee9a539e3788fae7b5481284ac" TargetMode="External"/><Relationship Id="rId24" Type="http://schemas.openxmlformats.org/officeDocument/2006/relationships/hyperlink" Target="https://www.theguardian.com/world/2015/sep/15/hungary-strict-new-border-controls-crackdown-refugees-serbia" TargetMode="External"/><Relationship Id="rId5" Type="http://schemas.openxmlformats.org/officeDocument/2006/relationships/hyperlink" Target="https://www.srbija.gov.rs/vest/en/150705/government-adopts-economic-migration-strategy.php" TargetMode="External"/><Relationship Id="rId15" Type="http://schemas.openxmlformats.org/officeDocument/2006/relationships/hyperlink" Target="https://www.mena-researchcenter.org/new-migration-policy-on-the-balkans/" TargetMode="External"/><Relationship Id="rId23" Type="http://schemas.openxmlformats.org/officeDocument/2006/relationships/hyperlink" Target="https://cadenaser.com/nacional/2025/01/24/mas-de-300-organizaciones-sociales-europeas-denuncian-la-expulsion-de-activistas-de-serbia-cadena-ser/" TargetMode="External"/><Relationship Id="rId10" Type="http://schemas.openxmlformats.org/officeDocument/2006/relationships/hyperlink" Target="https://www.reuters.com/world/europe/slovak-pm-fico-says-fight-against-illegal-migration-an-absolute-priority-2024-10-22" TargetMode="External"/><Relationship Id="rId19" Type="http://schemas.openxmlformats.org/officeDocument/2006/relationships/hyperlink" Target="https://asylumineurope.org/reports/country/serbia/asylum-procedure/general/short-overview-asylum-procedure/" TargetMode="External"/><Relationship Id="rId4" Type="http://schemas.openxmlformats.org/officeDocument/2006/relationships/hyperlink" Target="https://www.refworld.org/legal/decreees/natlegbod/2018/en/123509" TargetMode="External"/><Relationship Id="rId9" Type="http://schemas.openxmlformats.org/officeDocument/2006/relationships/hyperlink" Target="https://home-affairs.ec.europa.eu/news/eu-signs-agreement-serbia-strengthen-collaboration-migration-and-border-management-2024-06-25_en" TargetMode="External"/><Relationship Id="rId14" Type="http://schemas.openxmlformats.org/officeDocument/2006/relationships/hyperlink" Target="https://www.eeas.europa.eu/node/39881_en" TargetMode="External"/><Relationship Id="rId22" Type="http://schemas.openxmlformats.org/officeDocument/2006/relationships/hyperlink" Target="https://www.srbija.gov.rs/vest/en/235342/serbia-a-key-partner-for-eu-in-managing-migration-flows.php" TargetMode="Externa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8" Type="http://schemas.openxmlformats.org/officeDocument/2006/relationships/hyperlink" Target="https://www.globaldetentionproject.org/29-may-2020-macedonia" TargetMode="External"/><Relationship Id="rId3" Type="http://schemas.openxmlformats.org/officeDocument/2006/relationships/hyperlink" Target="https://www.reuters.com/article/sustainability/police-migrants-clash-on-macedonia-border-soldiers-build-fence-idUSKBN0TH04L" TargetMode="External"/><Relationship Id="rId7" Type="http://schemas.openxmlformats.org/officeDocument/2006/relationships/hyperlink" Target="https://index.statelessness.eu/news/north-macedonia-takes-positive-step-towards-ending-statelessness?language=en" TargetMode="External"/><Relationship Id="rId12" Type="http://schemas.openxmlformats.org/officeDocument/2006/relationships/table" Target="../tables/table8.xml"/><Relationship Id="rId2" Type="http://schemas.openxmlformats.org/officeDocument/2006/relationships/hyperlink" Target="https://www.osw.waw.pl/en/publikacje/analyses/2015-08-26/macedonia-and-migrant-crisis" TargetMode="External"/><Relationship Id="rId1" Type="http://schemas.openxmlformats.org/officeDocument/2006/relationships/hyperlink" Target="https://www.osw.waw.pl/en/publikacje/analyses/2015-08-26/macedonia-and-migrant-crisis" TargetMode="External"/><Relationship Id="rId6" Type="http://schemas.openxmlformats.org/officeDocument/2006/relationships/hyperlink" Target="https://www.consilium.europa.eu/en/press/press-releases/2022/10/13/border-management-council-decides-to-sign-agreement-with-north-macedonia-on-frontex-operational-cooperation" TargetMode="External"/><Relationship Id="rId11" Type="http://schemas.openxmlformats.org/officeDocument/2006/relationships/hyperlink" Target="https://www.refworld.org/legal/decreees/natlegbod/2018/en/121462" TargetMode="External"/><Relationship Id="rId5" Type="http://schemas.openxmlformats.org/officeDocument/2006/relationships/hyperlink" Target="https://northmacedonia.un.org/en/173666-new-resolution-migration-policy-2021-2025-was-adopted-parliament" TargetMode="External"/><Relationship Id="rId10" Type="http://schemas.openxmlformats.org/officeDocument/2006/relationships/hyperlink" Target="https://north-macedonia.iom.int/sites/g/files/tmzbdl2301/files/documents/2023-02/IOM%20Country%20Strategy%20for%20North%20Macedonia%202022-2025.pdf" TargetMode="External"/><Relationship Id="rId4" Type="http://schemas.openxmlformats.org/officeDocument/2006/relationships/hyperlink" Target="https://www.theguardian.com/world/2015/nov/23/stranded-migrants-sew-mouths-shut-in-protest-against-balkan-border-controls" TargetMode="External"/><Relationship Id="rId9" Type="http://schemas.openxmlformats.org/officeDocument/2006/relationships/hyperlink" Target="https://euaa.europa.eu/sites/default/files/2022-02/MK_RM_Cover.pd"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openxmlformats.org/officeDocument/2006/relationships/hyperlink" Target="https://enlargement.ec.europa.eu/news/border-management-eu-signs-status-agreement-montenegro-2023-05-16_en" TargetMode="External"/><Relationship Id="rId2" Type="http://schemas.openxmlformats.org/officeDocument/2006/relationships/hyperlink" Target="https://www.coe.int/en/web/migration-and-refugees/-/montenegro-law-on-foreigners" TargetMode="External"/><Relationship Id="rId1" Type="http://schemas.openxmlformats.org/officeDocument/2006/relationships/hyperlink" Target="http://arhiva.skupstina.me/images/dokumenti/biblioteka-i-istrazivanje/2017/17.pdf" TargetMode="External"/><Relationship Id="rId6" Type="http://schemas.openxmlformats.org/officeDocument/2006/relationships/table" Target="../tables/table10.xml"/><Relationship Id="rId5" Type="http://schemas.openxmlformats.org/officeDocument/2006/relationships/hyperlink" Target="https://www.refworld.org/legal/legislation/natlegbod/2016/en/104945" TargetMode="External"/><Relationship Id="rId4" Type="http://schemas.openxmlformats.org/officeDocument/2006/relationships/hyperlink" Target="https://www.gov.me/en/documents/15ef985b-eddb-4a41-a58a-63fee7e8455c" TargetMode="External"/></Relationships>
</file>

<file path=xl/worksheets/_rels/sheet11.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8" Type="http://schemas.openxmlformats.org/officeDocument/2006/relationships/hyperlink" Target="https://www.mondaq.com/work-visas/525182/legal-news-august-2016" TargetMode="External"/><Relationship Id="rId3" Type="http://schemas.openxmlformats.org/officeDocument/2006/relationships/hyperlink" Target="https://www.refworld.org/legal/legislation/natlegbod/2021/en/123556" TargetMode="External"/><Relationship Id="rId7" Type="http://schemas.openxmlformats.org/officeDocument/2006/relationships/hyperlink" Target="https://mb.gov.al/wp-content/uploads/2024/10/EN-_Profili_i_Migracionit_2015-2.pdf" TargetMode="External"/><Relationship Id="rId2" Type="http://schemas.openxmlformats.org/officeDocument/2006/relationships/hyperlink" Target="https://www.refworld.org/legal/legislation/natlegbod/2020/en/123407" TargetMode="External"/><Relationship Id="rId1" Type="http://schemas.openxmlformats.org/officeDocument/2006/relationships/hyperlink" Target="https://albania.iom.int/resources/national-strategy-migration-and-action-plan-2019-2022" TargetMode="External"/><Relationship Id="rId6" Type="http://schemas.openxmlformats.org/officeDocument/2006/relationships/hyperlink" Target="https://apnews.com/article/albania-britain-illegal-migration-19e335a01efd7463072da5e8823e3c20" TargetMode="External"/><Relationship Id="rId5" Type="http://schemas.openxmlformats.org/officeDocument/2006/relationships/hyperlink" Target="https://www.theguardian.com/world/2024/oct/11/italy-migration-centres-open-albania-controversial-deal" TargetMode="External"/><Relationship Id="rId4" Type="http://schemas.openxmlformats.org/officeDocument/2006/relationships/hyperlink" Target="https://www.eumonitor.eu/9353000/1/j4nvhdfdk3hydzq_j9vvik7m1c3gyxp/vmizb35vhqy3" TargetMode="External"/><Relationship Id="rId9"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4.xml.rels><?xml version="1.0" encoding="UTF-8" standalone="yes"?>
<Relationships xmlns="http://schemas.openxmlformats.org/package/2006/relationships"><Relationship Id="rId3" Type="http://schemas.openxmlformats.org/officeDocument/2006/relationships/hyperlink" Target="https://gzk.rks-gov.net/ActDetail.aspx?ActID=16389" TargetMode="External"/><Relationship Id="rId2" Type="http://schemas.openxmlformats.org/officeDocument/2006/relationships/hyperlink" Target="https://www.kuvendikosoves.org/eng/european-union-integration-process/" TargetMode="External"/><Relationship Id="rId1" Type="http://schemas.openxmlformats.org/officeDocument/2006/relationships/hyperlink" Target="https://www.ecoi.net/en/file/local/2044747/601aaf494.pdf" TargetMode="External"/><Relationship Id="rId6" Type="http://schemas.openxmlformats.org/officeDocument/2006/relationships/table" Target="../tables/table14.xml"/><Relationship Id="rId5" Type="http://schemas.openxmlformats.org/officeDocument/2006/relationships/hyperlink" Target="https://www.refworld.org/legal/legislation/natlegbod/2019/en/123452?prevPage=/node/123452" TargetMode="External"/><Relationship Id="rId4" Type="http://schemas.openxmlformats.org/officeDocument/2006/relationships/hyperlink" Target="https://mpb.rks-gov.net/Uploads/Documents/Pdf/EN/378/Strategy-on-Migration-2021-2025-anglisht.pdf" TargetMode="External"/></Relationships>
</file>

<file path=xl/worksheets/_rels/sheet15.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6.xml.rels><?xml version="1.0" encoding="UTF-8" standalone="yes"?>
<Relationships xmlns="http://schemas.openxmlformats.org/package/2006/relationships"><Relationship Id="rId13" Type="http://schemas.openxmlformats.org/officeDocument/2006/relationships/hyperlink" Target="https://www.aljazeera.com/news/2019/8/22/slovenia-to-extend-border-fence-to-prevent-refugee-crossings" TargetMode="External"/><Relationship Id="rId18" Type="http://schemas.openxmlformats.org/officeDocument/2006/relationships/hyperlink" Target="https://apnews.com/article/migration-austria-western-europe-croatia-791cb1b95334fc1055f98e2b31057951" TargetMode="External"/><Relationship Id="rId26" Type="http://schemas.openxmlformats.org/officeDocument/2006/relationships/hyperlink" Target="https://sloveniatimes.com/42279/slovenia-croatia-and-italy-agree-joint-border-patrols" TargetMode="External"/><Relationship Id="rId3" Type="http://schemas.openxmlformats.org/officeDocument/2006/relationships/hyperlink" Target="https://www.dw.com/en/slovenia-asks-for-eu-help-to-tackle-refugee-crisis/a-18798930" TargetMode="External"/><Relationship Id="rId21" Type="http://schemas.openxmlformats.org/officeDocument/2006/relationships/hyperlink" Target="https://www.reuters.com/world/europe/slovenia-deploys-police-borders-with-croatia-hungary-2023-10-21" TargetMode="External"/><Relationship Id="rId7" Type="http://schemas.openxmlformats.org/officeDocument/2006/relationships/hyperlink" Target="https://www.dw.com/en/slovenia-approves-new-legislation-in-effort-to-stem-refugee-flow/a-19095793" TargetMode="External"/><Relationship Id="rId12" Type="http://schemas.openxmlformats.org/officeDocument/2006/relationships/hyperlink" Target="https://slovenia.iom.int/news/slovenias-first-refugee-resettlement-programme-completed-after-arrival-last-syrian-family-0" TargetMode="External"/><Relationship Id="rId17" Type="http://schemas.openxmlformats.org/officeDocument/2006/relationships/hyperlink" Target="https://ecre.org/aida-2021-update-slovenia" TargetMode="External"/><Relationship Id="rId25" Type="http://schemas.openxmlformats.org/officeDocument/2006/relationships/hyperlink" Target="https://www.gov.si/en/news/2024-12-20-temporary-control-on-internal-borders-with-croatia-and-hungary-prolonged-until-21-june-2025" TargetMode="External"/><Relationship Id="rId33" Type="http://schemas.openxmlformats.org/officeDocument/2006/relationships/table" Target="../tables/table16.xml"/><Relationship Id="rId2" Type="http://schemas.openxmlformats.org/officeDocument/2006/relationships/hyperlink" Target="https://www.theguardian.com/world/2015/oct/21/slovenia-calls-in-army-refugee-crisis-borders-europe" TargetMode="External"/><Relationship Id="rId16" Type="http://schemas.openxmlformats.org/officeDocument/2006/relationships/hyperlink" Target="https://ecre.org/slovenia-national-assembly-approves-legislation-eroding-the-rights-of-asylum-seekers" TargetMode="External"/><Relationship Id="rId20" Type="http://schemas.openxmlformats.org/officeDocument/2006/relationships/hyperlink" Target="https://www.gov.si/en/news/2023-03-28-changing-the-law-to-speed-up-the-recruitment-of-foreigners" TargetMode="External"/><Relationship Id="rId29" Type="http://schemas.openxmlformats.org/officeDocument/2006/relationships/hyperlink" Target="https://www.gov.si/en/news/2023-01-18-minister-sanja-ajanovic-hovnik-the-aim-is-to-prepare-an-effective-migration-strategy/" TargetMode="External"/><Relationship Id="rId1" Type="http://schemas.openxmlformats.org/officeDocument/2006/relationships/hyperlink" Target="https://www.dw.com/en/slovenia-blocks-flow-of-migrants-entering-its-borders/a-18790663" TargetMode="External"/><Relationship Id="rId6" Type="http://schemas.openxmlformats.org/officeDocument/2006/relationships/hyperlink" Target="https://www.theguardian.com/world/2016/feb/26/croatia-slovenia-limits-refugee-numbers-europe-greece" TargetMode="External"/><Relationship Id="rId11" Type="http://schemas.openxmlformats.org/officeDocument/2006/relationships/hyperlink" Target="https://slovenia.iom.int/news/slovenias-first-refugee-resettlement-programme-completed-after-arrival-last-syrian-family-0" TargetMode="External"/><Relationship Id="rId24" Type="http://schemas.openxmlformats.org/officeDocument/2006/relationships/hyperlink" Target="https://www.gov.si/en/news/2024-06-19-border-controls-with-croatia-and-hungary-extended-until-21-december-2024" TargetMode="External"/><Relationship Id="rId32" Type="http://schemas.openxmlformats.org/officeDocument/2006/relationships/printerSettings" Target="../printerSettings/printerSettings2.bin"/><Relationship Id="rId5" Type="http://schemas.openxmlformats.org/officeDocument/2006/relationships/hyperlink" Target="https://www.dw.com/en/slovenia-deploys-army-to-schengen-zone-border-to-tackle-refugee-influx/a-19066844" TargetMode="External"/><Relationship Id="rId15" Type="http://schemas.openxmlformats.org/officeDocument/2006/relationships/hyperlink" Target="https://ecre.org/aida-2020-update-slovenia" TargetMode="External"/><Relationship Id="rId23" Type="http://schemas.openxmlformats.org/officeDocument/2006/relationships/hyperlink" Target="https://www.gov.si/en/news/2024-05-22-slovenia-to-extend-control-at-croatian-and-hungarian-borders-by-six-months" TargetMode="External"/><Relationship Id="rId28" Type="http://schemas.openxmlformats.org/officeDocument/2006/relationships/hyperlink" Target="https://www.gov.si/en/news/2022-06-22-return-is-one-of-key-pillars-of-an-effective-migration-policy/" TargetMode="External"/><Relationship Id="rId10" Type="http://schemas.openxmlformats.org/officeDocument/2006/relationships/hyperlink" Target="https://www.amnesty.org/en/latest/news/2017/01/slovenia-amendments-to-aliens-act-denies-protection-to-refugees-2/" TargetMode="External"/><Relationship Id="rId19" Type="http://schemas.openxmlformats.org/officeDocument/2006/relationships/hyperlink" Target="https://www.gov.si/en/news/2022-12-01-26th-regular-government-session" TargetMode="External"/><Relationship Id="rId31" Type="http://schemas.openxmlformats.org/officeDocument/2006/relationships/hyperlink" Target="https://apnews.com/article/1a1a931125f6f9207c9c3e49e11ef1f3" TargetMode="External"/><Relationship Id="rId4" Type="http://schemas.openxmlformats.org/officeDocument/2006/relationships/hyperlink" Target="https://www.politico.eu/article/slovenia-to-build-croatia-border-fence-miro-cerar-migrants-control/" TargetMode="External"/><Relationship Id="rId9" Type="http://schemas.openxmlformats.org/officeDocument/2006/relationships/hyperlink" Target="https://migrant-integration.ec.europa.eu/index.php/country-governance/governance-migrant-integration-slovenia_en" TargetMode="External"/><Relationship Id="rId14" Type="http://schemas.openxmlformats.org/officeDocument/2006/relationships/hyperlink" Target="https://migrant-integration.ec.europa.eu/country-governance/governance-migrant-integration-slovenia_en" TargetMode="External"/><Relationship Id="rId22" Type="http://schemas.openxmlformats.org/officeDocument/2006/relationships/hyperlink" Target="https://www.gov.si/en/news/2023-12-15-slovenia-accepts-refugees-under-the-resettlement-project" TargetMode="External"/><Relationship Id="rId27" Type="http://schemas.openxmlformats.org/officeDocument/2006/relationships/hyperlink" Target="https://www.gov.si/en/news/2019-07-18-government-adopts-a-strategy-with-regard-to-migrations" TargetMode="External"/><Relationship Id="rId30" Type="http://schemas.openxmlformats.org/officeDocument/2006/relationships/hyperlink" Target="https://www.fragomen.com/insights/slovenia-relaxed-immigration-rules-implemented-but-stricter-language-requirements-forthcoming.html" TargetMode="External"/><Relationship Id="rId8" Type="http://schemas.openxmlformats.org/officeDocument/2006/relationships/hyperlink" Target="https://time.com/4252013/slovenia-serbia-balkans-route-refugees-migrants-eu/" TargetMode="Externa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8.xml.rels><?xml version="1.0" encoding="UTF-8" standalone="yes"?>
<Relationships xmlns="http://schemas.openxmlformats.org/package/2006/relationships"><Relationship Id="rId8" Type="http://schemas.openxmlformats.org/officeDocument/2006/relationships/hyperlink" Target="https://helsinki.hu/en/wp-content/uploads/sites/2/2024/04/HHC_Hungary_states_of_exception_20240402.pdf" TargetMode="External"/><Relationship Id="rId13" Type="http://schemas.openxmlformats.org/officeDocument/2006/relationships/hyperlink" Target="https://travelobiz.com/hungary-immigration-updates-2025-guest-worker-limits-new-exams/" TargetMode="External"/><Relationship Id="rId3" Type="http://schemas.openxmlformats.org/officeDocument/2006/relationships/hyperlink" Target="https://www.bbc.com/news/world-europe-36786438" TargetMode="External"/><Relationship Id="rId7" Type="http://schemas.openxmlformats.org/officeDocument/2006/relationships/hyperlink" Target="https://fra.europa.eu/sites/default/files/fra_uploads/fra-2021-migration-bulletin-2_en.pdf" TargetMode="External"/><Relationship Id="rId12" Type="http://schemas.openxmlformats.org/officeDocument/2006/relationships/hyperlink" Target="https://hungary.iom.int/european-migration-crisis-and-hungary" TargetMode="External"/><Relationship Id="rId2" Type="http://schemas.openxmlformats.org/officeDocument/2006/relationships/hyperlink" Target="https://www.nytimes.com/2015/10/17/world/europe/hungary-croatia-refugees-migrants.html?_r=1" TargetMode="External"/><Relationship Id="rId1" Type="http://schemas.openxmlformats.org/officeDocument/2006/relationships/hyperlink" Target="https://www.ibtimes.com/european-refugee-crisis-hungary-enacts-tough-new-laws-closes-key-border-crossing-2096891" TargetMode="External"/><Relationship Id="rId6" Type="http://schemas.openxmlformats.org/officeDocument/2006/relationships/hyperlink" Target="https://ecre.org/hungary-abolishment-of-transit-zone-following-cjeu-ruling/" TargetMode="External"/><Relationship Id="rId11" Type="http://schemas.openxmlformats.org/officeDocument/2006/relationships/hyperlink" Target="https://www.bbc.com/news/world-europe-33244800" TargetMode="External"/><Relationship Id="rId5" Type="http://schemas.openxmlformats.org/officeDocument/2006/relationships/hyperlink" Target="https://www.theguardian.com/world/2018/jun/20/hungary-passes-anti-immigrant-stop-soros-laws" TargetMode="External"/><Relationship Id="rId10" Type="http://schemas.openxmlformats.org/officeDocument/2006/relationships/hyperlink" Target="https://www.amnesty.org/fr/wp-content/uploads/2021/05/EUR2758552017ENGLISH.pdf" TargetMode="External"/><Relationship Id="rId4" Type="http://schemas.openxmlformats.org/officeDocument/2006/relationships/hyperlink" Target="https://www.bbc.com/news/world-europe-37528325" TargetMode="External"/><Relationship Id="rId9" Type="http://schemas.openxmlformats.org/officeDocument/2006/relationships/hyperlink" Target="https://abouthungary.hu/news-in-brief/state-secretary-hungary-rejects-eu-s-migration-pact-because-it-goes-against-national-interests" TargetMode="External"/><Relationship Id="rId14"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20.xml.rels><?xml version="1.0" encoding="UTF-8" standalone="yes"?>
<Relationships xmlns="http://schemas.openxmlformats.org/package/2006/relationships"><Relationship Id="rId117" Type="http://schemas.openxmlformats.org/officeDocument/2006/relationships/hyperlink" Target="https://www.ecre.org/wp-content/uploads/2020/05/COVID-INFO-28-May.pdf" TargetMode="External"/><Relationship Id="rId21" Type="http://schemas.openxmlformats.org/officeDocument/2006/relationships/hyperlink" Target="https://enlargement.ec.europa.eu/document/download/b20c3204-68d0-47e7-b344-5e2562a3adce_en" TargetMode="External"/><Relationship Id="rId42" Type="http://schemas.openxmlformats.org/officeDocument/2006/relationships/hyperlink" Target="https://home-affairs.ec.europa.eu/news/serbia-becomes-observer-country-european-migration-network-2023-03-16_en" TargetMode="External"/><Relationship Id="rId63" Type="http://schemas.openxmlformats.org/officeDocument/2006/relationships/hyperlink" Target="https://www.refworld.org/legal/legislation/natlegbod/2020/en/123407" TargetMode="External"/><Relationship Id="rId84" Type="http://schemas.openxmlformats.org/officeDocument/2006/relationships/hyperlink" Target="https://www.amnesty.org/en/latest/news/2017/01/slovenia-amendments-to-aliens-act-denies-protection-to-refugees-2/" TargetMode="External"/><Relationship Id="rId138" Type="http://schemas.openxmlformats.org/officeDocument/2006/relationships/hyperlink" Target="https://ecre.org/hungary-abolishment-of-transit-zone-following-cjeu-ruling/" TargetMode="External"/><Relationship Id="rId107" Type="http://schemas.openxmlformats.org/officeDocument/2006/relationships/hyperlink" Target="https://emn.gov.hr/UserDocsImages/EMN_kratka_izvjesca/2015_emn_country_factsheet_hr_final.pdf" TargetMode="External"/><Relationship Id="rId11" Type="http://schemas.openxmlformats.org/officeDocument/2006/relationships/hyperlink" Target="https://bih.iom.int/news/european-union-supports-establishment-new-temporary-reception-centre-lipa" TargetMode="External"/><Relationship Id="rId32" Type="http://schemas.openxmlformats.org/officeDocument/2006/relationships/hyperlink" Target="https://apnews.com/article/583b81ee9a539e3788fae7b5481284ac" TargetMode="External"/><Relationship Id="rId53" Type="http://schemas.openxmlformats.org/officeDocument/2006/relationships/hyperlink" Target="https://www.globaldetentionproject.org/29-may-2020-macedonia" TargetMode="External"/><Relationship Id="rId74" Type="http://schemas.openxmlformats.org/officeDocument/2006/relationships/hyperlink" Target="https://www.refworld.org/legal/legislation/natlegbod/2019/en/123452?prevPage=/node/123452" TargetMode="External"/><Relationship Id="rId128" Type="http://schemas.openxmlformats.org/officeDocument/2006/relationships/hyperlink" Target="https://hudoc.echr.coe.int/eng" TargetMode="External"/><Relationship Id="rId5" Type="http://schemas.openxmlformats.org/officeDocument/2006/relationships/hyperlink" Target="https://msb.gov.ba/vijesti/saopstenja/default.aspx?id=14351&amp;langTag=en-US" TargetMode="External"/><Relationship Id="rId90" Type="http://schemas.openxmlformats.org/officeDocument/2006/relationships/hyperlink" Target="https://ecre.org/slovenia-national-assembly-approves-legislation-eroding-the-rights-of-asylum-seekers" TargetMode="External"/><Relationship Id="rId95" Type="http://schemas.openxmlformats.org/officeDocument/2006/relationships/hyperlink" Target="https://www.reuters.com/world/europe/slovenia-deploys-police-borders-with-croatia-hungary-2023-10-21" TargetMode="External"/><Relationship Id="rId22" Type="http://schemas.openxmlformats.org/officeDocument/2006/relationships/hyperlink" Target="https://www.iom.int/sites/g/files/tmzbdl2616/files/country_appeal/file/IOM-European-Migration-Crisis-WB-Response-Plan-Appeal.pdf" TargetMode="External"/><Relationship Id="rId27" Type="http://schemas.openxmlformats.org/officeDocument/2006/relationships/hyperlink" Target="https://reliefweb.int/report/serbia/between-closed-borders-2020-21-joint-agency-paper-refugees-and-migrants-serbia-2020" TargetMode="External"/><Relationship Id="rId43" Type="http://schemas.openxmlformats.org/officeDocument/2006/relationships/hyperlink" Target="https://www.srbija.gov.rs/vest/en/235342/serbia-a-key-partner-for-eu-in-managing-migration-flows.php" TargetMode="External"/><Relationship Id="rId48" Type="http://schemas.openxmlformats.org/officeDocument/2006/relationships/hyperlink" Target="https://www.reuters.com/article/sustainability/police-migrants-clash-on-macedonia-border-soldiers-build-fence-idUSKBN0TH04L" TargetMode="External"/><Relationship Id="rId64" Type="http://schemas.openxmlformats.org/officeDocument/2006/relationships/hyperlink" Target="https://www.refworld.org/legal/legislation/natlegbod/2021/en/123556" TargetMode="External"/><Relationship Id="rId69" Type="http://schemas.openxmlformats.org/officeDocument/2006/relationships/hyperlink" Target="https://www.mondaq.com/work-visas/525182/legal-news-august-2016" TargetMode="External"/><Relationship Id="rId113" Type="http://schemas.openxmlformats.org/officeDocument/2006/relationships/hyperlink" Target="https://emn.gov.hr/UserDocsImages/EMN_kratka_izvjesca/2016_emn_country_factsheet_hr_final.pdf" TargetMode="External"/><Relationship Id="rId118" Type="http://schemas.openxmlformats.org/officeDocument/2006/relationships/hyperlink" Target="https://www.consilium.europa.eu/en/press/press-releases/2022/12/08/schengen-area-council-decides-to-lift-border-controls-with-croatia" TargetMode="External"/><Relationship Id="rId134" Type="http://schemas.openxmlformats.org/officeDocument/2006/relationships/hyperlink" Target="https://www.nytimes.com/2015/10/17/world/europe/hungary-croatia-refugees-migrants.html?_r=1" TargetMode="External"/><Relationship Id="rId139" Type="http://schemas.openxmlformats.org/officeDocument/2006/relationships/hyperlink" Target="https://fra.europa.eu/sites/default/files/fra_uploads/fra-2021-migration-bulletin-2_en.pdf" TargetMode="External"/><Relationship Id="rId80" Type="http://schemas.openxmlformats.org/officeDocument/2006/relationships/hyperlink" Target="https://www.theguardian.com/world/2016/feb/26/croatia-slovenia-limits-refugee-numbers-europe-greece" TargetMode="External"/><Relationship Id="rId85" Type="http://schemas.openxmlformats.org/officeDocument/2006/relationships/hyperlink" Target="https://slovenia.iom.int/news/slovenias-first-refugee-resettlement-programme-completed-after-arrival-last-syrian-family-0" TargetMode="External"/><Relationship Id="rId12" Type="http://schemas.openxmlformats.org/officeDocument/2006/relationships/hyperlink" Target="https://www.hrw.org/news/2021/01/21/bosnia-and-herzegovina-migrants-left-cold" TargetMode="External"/><Relationship Id="rId17" Type="http://schemas.openxmlformats.org/officeDocument/2006/relationships/hyperlink" Target="https://enlargement.ec.europa.eu/document/download/451db011-6779-40ea-b34b-a0eeda451746_en?filename=Bosnia+and+Herzegovina+Report+2024.pdf" TargetMode="External"/><Relationship Id="rId33" Type="http://schemas.openxmlformats.org/officeDocument/2006/relationships/hyperlink" Target="https://immigratetoserbia.com/streamlining-work-permits-and-residence-for-foreigners-in-serbia-recent-legislative-changes" TargetMode="External"/><Relationship Id="rId38" Type="http://schemas.openxmlformats.org/officeDocument/2006/relationships/hyperlink" Target="https://ecre.org/balkan-route-increased-arrivals-in-serbia-amid-evictions-and-raids-croatia-slovenia-and-austria-introduce-internal-border-checks-to-curb-migration-migrants-report-being-treated-like-anima/" TargetMode="External"/><Relationship Id="rId59" Type="http://schemas.openxmlformats.org/officeDocument/2006/relationships/hyperlink" Target="https://enlargement.ec.europa.eu/news/border-management-eu-signs-status-agreement-montenegro-2023-05-16_en" TargetMode="External"/><Relationship Id="rId103" Type="http://schemas.openxmlformats.org/officeDocument/2006/relationships/hyperlink" Target="https://www.gov.si/en/news/2023-01-18-minister-sanja-ajanovic-hovnik-the-aim-is-to-prepare-an-effective-migration-strategy/" TargetMode="External"/><Relationship Id="rId108" Type="http://schemas.openxmlformats.org/officeDocument/2006/relationships/hyperlink" Target="https://emn.gov.hr/UserDocsImages/EMN_kratka_izvjesca/2015_emn_country_factsheet_hr_final.pdf" TargetMode="External"/><Relationship Id="rId124" Type="http://schemas.openxmlformats.org/officeDocument/2006/relationships/hyperlink" Target="https://www.theguardian.com/global-development/2024/oct/10/photos-croatia-police-phones-passports-asylum-seekers" TargetMode="External"/><Relationship Id="rId129" Type="http://schemas.openxmlformats.org/officeDocument/2006/relationships/hyperlink" Target="https://time.com/4039742/croatia-border-crossings-closed-refugees-migrant-crisis" TargetMode="External"/><Relationship Id="rId54" Type="http://schemas.openxmlformats.org/officeDocument/2006/relationships/hyperlink" Target="https://euaa.europa.eu/sites/default/files/2022-02/MK_RM_Cover.pd" TargetMode="External"/><Relationship Id="rId70" Type="http://schemas.openxmlformats.org/officeDocument/2006/relationships/hyperlink" Target="https://www.ecoi.net/en/file/local/2044747/601aaf494.pdf" TargetMode="External"/><Relationship Id="rId75" Type="http://schemas.openxmlformats.org/officeDocument/2006/relationships/hyperlink" Target="https://www.dw.com/en/slovenia-blocks-flow-of-migrants-entering-its-borders/a-18790663" TargetMode="External"/><Relationship Id="rId91" Type="http://schemas.openxmlformats.org/officeDocument/2006/relationships/hyperlink" Target="https://ecre.org/aida-2021-update-slovenia" TargetMode="External"/><Relationship Id="rId96" Type="http://schemas.openxmlformats.org/officeDocument/2006/relationships/hyperlink" Target="https://www.gov.si/en/news/2023-12-15-slovenia-accepts-refugees-under-the-resettlement-project" TargetMode="External"/><Relationship Id="rId140" Type="http://schemas.openxmlformats.org/officeDocument/2006/relationships/hyperlink" Target="https://helsinki.hu/en/wp-content/uploads/sites/2/2024/04/HHC_Hungary_states_of_exception_20240402.pdf" TargetMode="External"/><Relationship Id="rId145" Type="http://schemas.openxmlformats.org/officeDocument/2006/relationships/hyperlink" Target="https://travelobiz.com/hungary-immigration-updates-2025-guest-worker-limits-new-exams/" TargetMode="External"/><Relationship Id="rId1" Type="http://schemas.openxmlformats.org/officeDocument/2006/relationships/hyperlink" Target="https://natlex.ilo.org/dyn/natlex2/r/natlex/fe/details?cs=1MZCSFvcFNOJzO2BZ-hVVIe0Pom8NnVD4UDhECJUW3BS3jUcfc-cD-IeRktfzNGsdyLUUWiI2-tXi6ydcI-43Rg&amp;p3_isn=102209" TargetMode="External"/><Relationship Id="rId6" Type="http://schemas.openxmlformats.org/officeDocument/2006/relationships/hyperlink" Target="https://www.refworld.org/legal/decreees/natlegbod/2021/bs/147521" TargetMode="External"/><Relationship Id="rId23" Type="http://schemas.openxmlformats.org/officeDocument/2006/relationships/hyperlink" Target="https://www.unhcr.org/mt/3087-unhcr-chief-says-absolute-nonsense-blame-refugees-terror.html" TargetMode="External"/><Relationship Id="rId28" Type="http://schemas.openxmlformats.org/officeDocument/2006/relationships/hyperlink" Target="https://balkaninsight.com/2020/03/17/serbia-restricts-movement-for-migrants-asylum-seekers" TargetMode="External"/><Relationship Id="rId49" Type="http://schemas.openxmlformats.org/officeDocument/2006/relationships/hyperlink" Target="https://www.theguardian.com/world/2015/nov/23/stranded-migrants-sew-mouths-shut-in-protest-against-balkan-border-controls" TargetMode="External"/><Relationship Id="rId114" Type="http://schemas.openxmlformats.org/officeDocument/2006/relationships/hyperlink" Target="https://www.theguardian.com/world/2018/dec/17/croatia-violating-eu-law-by-sending-back-asylum-seekers-to-bosnia" TargetMode="External"/><Relationship Id="rId119" Type="http://schemas.openxmlformats.org/officeDocument/2006/relationships/hyperlink" Target="https://emn.gov.hr/news/amendments-to-international-and-temporary-protection-act-entered-into-force/964" TargetMode="External"/><Relationship Id="rId44" Type="http://schemas.openxmlformats.org/officeDocument/2006/relationships/hyperlink" Target="https://cadenaser.com/nacional/2025/01/24/mas-de-300-organizaciones-sociales-europeas-denuncian-la-expulsion-de-activistas-de-serbia-cadena-ser/" TargetMode="External"/><Relationship Id="rId60" Type="http://schemas.openxmlformats.org/officeDocument/2006/relationships/hyperlink" Target="https://www.gov.me/en/documents/15ef985b-eddb-4a41-a58a-63fee7e8455c" TargetMode="External"/><Relationship Id="rId65" Type="http://schemas.openxmlformats.org/officeDocument/2006/relationships/hyperlink" Target="https://www.eumonitor.eu/9353000/1/j4nvhdfdk3hydzq_j9vvik7m1c3gyxp/vmizb35vhqy3" TargetMode="External"/><Relationship Id="rId81" Type="http://schemas.openxmlformats.org/officeDocument/2006/relationships/hyperlink" Target="https://www.dw.com/en/slovenia-approves-new-legislation-in-effort-to-stem-refugee-flow/a-19095793" TargetMode="External"/><Relationship Id="rId86" Type="http://schemas.openxmlformats.org/officeDocument/2006/relationships/hyperlink" Target="https://slovenia.iom.int/news/slovenias-first-refugee-resettlement-programme-completed-after-arrival-last-syrian-family-0" TargetMode="External"/><Relationship Id="rId130" Type="http://schemas.openxmlformats.org/officeDocument/2006/relationships/hyperlink" Target="https://pace.coe.int/en/files/30216/html" TargetMode="External"/><Relationship Id="rId135" Type="http://schemas.openxmlformats.org/officeDocument/2006/relationships/hyperlink" Target="https://www.bbc.com/news/world-europe-36786438" TargetMode="External"/><Relationship Id="rId13" Type="http://schemas.openxmlformats.org/officeDocument/2006/relationships/hyperlink" Target="https://balkaninsight.com/2022/12/09/bosnia-to-tighten-border-controls-in-line-with-eu-demands/" TargetMode="External"/><Relationship Id="rId18" Type="http://schemas.openxmlformats.org/officeDocument/2006/relationships/hyperlink" Target="https://mvp.gov.ba/HTML/PDFDoc/Konzularno/Rulebook%20on%20entry%20and%20stay%20of%20aliens.pdf" TargetMode="External"/><Relationship Id="rId39" Type="http://schemas.openxmlformats.org/officeDocument/2006/relationships/hyperlink" Target="https://www.aljazeera.com/news/2015/9/25/tensions-between-croatia-and-serbia-rise-over-refugees" TargetMode="External"/><Relationship Id="rId109" Type="http://schemas.openxmlformats.org/officeDocument/2006/relationships/hyperlink" Target="https://emn.gov.hr/UserDocsImages/EMN_kratka_izvjesca/2015_emn_country_factsheet_hr_final.pdf" TargetMode="External"/><Relationship Id="rId34" Type="http://schemas.openxmlformats.org/officeDocument/2006/relationships/hyperlink" Target="https://kirs.gov.rs/eng/asylum/overview-of-activities-during-the-increased-influx-of-migrants" TargetMode="External"/><Relationship Id="rId50" Type="http://schemas.openxmlformats.org/officeDocument/2006/relationships/hyperlink" Target="https://northmacedonia.un.org/en/173666-new-resolution-migration-policy-2021-2025-was-adopted-parliament" TargetMode="External"/><Relationship Id="rId55" Type="http://schemas.openxmlformats.org/officeDocument/2006/relationships/hyperlink" Target="https://north-macedonia.iom.int/sites/g/files/tmzbdl2301/files/documents/2023-02/IOM%20Country%20Strategy%20for%20North%20Macedonia%202022-2025.pdf" TargetMode="External"/><Relationship Id="rId76" Type="http://schemas.openxmlformats.org/officeDocument/2006/relationships/hyperlink" Target="https://www.theguardian.com/world/2015/oct/21/slovenia-calls-in-army-refugee-crisis-borders-europe" TargetMode="External"/><Relationship Id="rId97" Type="http://schemas.openxmlformats.org/officeDocument/2006/relationships/hyperlink" Target="https://www.gov.si/en/news/2024-05-22-slovenia-to-extend-control-at-croatian-and-hungarian-borders-by-six-months" TargetMode="External"/><Relationship Id="rId104" Type="http://schemas.openxmlformats.org/officeDocument/2006/relationships/hyperlink" Target="https://www.fragomen.com/insights/slovenia-relaxed-immigration-rules-implemented-but-stricter-language-requirements-forthcoming.html" TargetMode="External"/><Relationship Id="rId120" Type="http://schemas.openxmlformats.org/officeDocument/2006/relationships/hyperlink" Target="https://asylumineurope.org/reports/country/croatia/asylum-procedure/access-procedure-and-registration/access-territory-and-push-backs" TargetMode="External"/><Relationship Id="rId125" Type="http://schemas.openxmlformats.org/officeDocument/2006/relationships/hyperlink" Target="https://ecre.org/2022-update-aida-country-report-croatia/" TargetMode="External"/><Relationship Id="rId141" Type="http://schemas.openxmlformats.org/officeDocument/2006/relationships/hyperlink" Target="https://abouthungary.hu/news-in-brief/state-secretary-hungary-rejects-eu-s-migration-pact-because-it-goes-against-national-interests" TargetMode="External"/><Relationship Id="rId146" Type="http://schemas.openxmlformats.org/officeDocument/2006/relationships/table" Target="../tables/table20.xml"/><Relationship Id="rId7" Type="http://schemas.openxmlformats.org/officeDocument/2006/relationships/hyperlink" Target="https://msb.gov.ba/PDF/120120244.pdf" TargetMode="External"/><Relationship Id="rId71" Type="http://schemas.openxmlformats.org/officeDocument/2006/relationships/hyperlink" Target="https://www.kuvendikosoves.org/eng/european-union-integration-process/" TargetMode="External"/><Relationship Id="rId92" Type="http://schemas.openxmlformats.org/officeDocument/2006/relationships/hyperlink" Target="https://apnews.com/article/migration-austria-western-europe-croatia-791cb1b95334fc1055f98e2b31057951" TargetMode="External"/><Relationship Id="rId2" Type="http://schemas.openxmlformats.org/officeDocument/2006/relationships/hyperlink" Target="https://wpsfocalpointsnetwork.org/wp-content/uploads/2021/07/Bosnia-and-Herzegovina-2018-2022.pdf" TargetMode="External"/><Relationship Id="rId29" Type="http://schemas.openxmlformats.org/officeDocument/2006/relationships/hyperlink" Target="https://www.minrzs.gov.rs/sites/default/files/2021-02/ENG_%20Strategija%20ekonomske%20migracije%202021-2027-30_10%20%28002%29.pdf" TargetMode="External"/><Relationship Id="rId24" Type="http://schemas.openxmlformats.org/officeDocument/2006/relationships/hyperlink" Target="https://www.refworld.org/legal/legislation/natlegbod/2018/en/123545" TargetMode="External"/><Relationship Id="rId40" Type="http://schemas.openxmlformats.org/officeDocument/2006/relationships/hyperlink" Target="https://asylumineurope.org/reports/country/serbia/asylum-procedure/general/short-overview-asylum-procedure/" TargetMode="External"/><Relationship Id="rId45" Type="http://schemas.openxmlformats.org/officeDocument/2006/relationships/hyperlink" Target="https://www.theguardian.com/world/2015/sep/15/hungary-strict-new-border-controls-crackdown-refugees-serbia" TargetMode="External"/><Relationship Id="rId66" Type="http://schemas.openxmlformats.org/officeDocument/2006/relationships/hyperlink" Target="https://www.theguardian.com/world/2024/oct/11/italy-migration-centres-open-albania-controversial-deal" TargetMode="External"/><Relationship Id="rId87" Type="http://schemas.openxmlformats.org/officeDocument/2006/relationships/hyperlink" Target="https://www.aljazeera.com/news/2019/8/22/slovenia-to-extend-border-fence-to-prevent-refugee-crossings" TargetMode="External"/><Relationship Id="rId110" Type="http://schemas.openxmlformats.org/officeDocument/2006/relationships/hyperlink" Target="https://emn.gov.hr/UserDocsImages/EMN_kratka_izvjesca/2015_emn_country_factsheet_hr_final.pdf" TargetMode="External"/><Relationship Id="rId115" Type="http://schemas.openxmlformats.org/officeDocument/2006/relationships/hyperlink" Target="https://balkaninsight.com/2019/05/10/croatia-war-veterans-threaten-block-roads-over-asylum-centre" TargetMode="External"/><Relationship Id="rId131" Type="http://schemas.openxmlformats.org/officeDocument/2006/relationships/hyperlink" Target="https://ecre.org/aida-country-report-on-croatia-2023-update" TargetMode="External"/><Relationship Id="rId136" Type="http://schemas.openxmlformats.org/officeDocument/2006/relationships/hyperlink" Target="https://www.bbc.com/news/world-europe-37528325" TargetMode="External"/><Relationship Id="rId61" Type="http://schemas.openxmlformats.org/officeDocument/2006/relationships/hyperlink" Target="https://www.refworld.org/legal/legislation/natlegbod/2016/en/104945" TargetMode="External"/><Relationship Id="rId82" Type="http://schemas.openxmlformats.org/officeDocument/2006/relationships/hyperlink" Target="https://time.com/4252013/slovenia-serbia-balkans-route-refugees-migrants-eu/" TargetMode="External"/><Relationship Id="rId19" Type="http://schemas.openxmlformats.org/officeDocument/2006/relationships/hyperlink" Target="https://enlargement.ec.europa.eu/enlargement-policy/bosnia-and-herzegovina_en" TargetMode="External"/><Relationship Id="rId14" Type="http://schemas.openxmlformats.org/officeDocument/2006/relationships/hyperlink" Target="https://www.euractiv.com/section/politics/news/migrants-take-new-balkan-route-through-bosnia" TargetMode="External"/><Relationship Id="rId30" Type="http://schemas.openxmlformats.org/officeDocument/2006/relationships/hyperlink" Target="https://home-affairs.ec.europa.eu/news/eu-signs-agreement-serbia-strengthen-collaboration-migration-and-border-management-2024-06-25_en" TargetMode="External"/><Relationship Id="rId35" Type="http://schemas.openxmlformats.org/officeDocument/2006/relationships/hyperlink" Target="https://www.eeas.europa.eu/node/39881_en" TargetMode="External"/><Relationship Id="rId56" Type="http://schemas.openxmlformats.org/officeDocument/2006/relationships/hyperlink" Target="https://www.refworld.org/legal/decreees/natlegbod/2018/en/121462" TargetMode="External"/><Relationship Id="rId77" Type="http://schemas.openxmlformats.org/officeDocument/2006/relationships/hyperlink" Target="https://www.dw.com/en/slovenia-asks-for-eu-help-to-tackle-refugee-crisis/a-18798930" TargetMode="External"/><Relationship Id="rId100" Type="http://schemas.openxmlformats.org/officeDocument/2006/relationships/hyperlink" Target="https://sloveniatimes.com/42279/slovenia-croatia-and-italy-agree-joint-border-patrols" TargetMode="External"/><Relationship Id="rId105" Type="http://schemas.openxmlformats.org/officeDocument/2006/relationships/hyperlink" Target="https://apnews.com/article/1a1a931125f6f9207c9c3e49e11ef1f3" TargetMode="External"/><Relationship Id="rId126" Type="http://schemas.openxmlformats.org/officeDocument/2006/relationships/hyperlink" Target="https://www.ecchr.eu/en/press-release/refugees-file-lawsuit-to-croatias-constitutional-court/" TargetMode="External"/><Relationship Id="rId8" Type="http://schemas.openxmlformats.org/officeDocument/2006/relationships/hyperlink" Target="https://advokatskafirmasajic.com/blog/the-law-on-amendments-to-the-law-on-foreigners-of-bih-published-in-the-official-gazette-of-bih-no-63-of-15-september-2023-entered-into-force-on-september-23-2023/" TargetMode="External"/><Relationship Id="rId51" Type="http://schemas.openxmlformats.org/officeDocument/2006/relationships/hyperlink" Target="https://www.consilium.europa.eu/en/press/press-releases/2022/10/13/border-management-council-decides-to-sign-agreement-with-north-macedonia-on-frontex-operational-cooperation" TargetMode="External"/><Relationship Id="rId72" Type="http://schemas.openxmlformats.org/officeDocument/2006/relationships/hyperlink" Target="https://gzk.rks-gov.net/ActDetail.aspx?ActID=16389" TargetMode="External"/><Relationship Id="rId93" Type="http://schemas.openxmlformats.org/officeDocument/2006/relationships/hyperlink" Target="https://www.gov.si/en/news/2022-12-01-26th-regular-government-session" TargetMode="External"/><Relationship Id="rId98" Type="http://schemas.openxmlformats.org/officeDocument/2006/relationships/hyperlink" Target="https://www.gov.si/en/news/2024-06-19-border-controls-with-croatia-and-hungary-extended-until-21-december-2024" TargetMode="External"/><Relationship Id="rId121" Type="http://schemas.openxmlformats.org/officeDocument/2006/relationships/hyperlink" Target="https://www.hrw.org/news/2023/05/03/croatia-ongoing-violent-border-pushbacks" TargetMode="External"/><Relationship Id="rId142" Type="http://schemas.openxmlformats.org/officeDocument/2006/relationships/hyperlink" Target="https://www.amnesty.org/fr/wp-content/uploads/2021/05/EUR2758552017ENGLISH.pdf" TargetMode="External"/><Relationship Id="rId3" Type="http://schemas.openxmlformats.org/officeDocument/2006/relationships/hyperlink" Target="http://refworld.org/legal/legislation/natlegbod/2016/en/123253" TargetMode="External"/><Relationship Id="rId25" Type="http://schemas.openxmlformats.org/officeDocument/2006/relationships/hyperlink" Target="https://www.refworld.org/legal/decreees/natlegbod/2018/en/123509" TargetMode="External"/><Relationship Id="rId46" Type="http://schemas.openxmlformats.org/officeDocument/2006/relationships/hyperlink" Target="https://www.osw.waw.pl/en/publikacje/analyses/2015-08-26/macedonia-and-migrant-crisis" TargetMode="External"/><Relationship Id="rId67" Type="http://schemas.openxmlformats.org/officeDocument/2006/relationships/hyperlink" Target="https://apnews.com/article/albania-britain-illegal-migration-19e335a01efd7463072da5e8823e3c20" TargetMode="External"/><Relationship Id="rId116" Type="http://schemas.openxmlformats.org/officeDocument/2006/relationships/hyperlink" Target="https://www.ecre.org/wp-content/uploads/2020/05/COVID-INFO-28-May.pdf" TargetMode="External"/><Relationship Id="rId137" Type="http://schemas.openxmlformats.org/officeDocument/2006/relationships/hyperlink" Target="https://www.theguardian.com/world/2018/jun/20/hungary-passes-anti-immigrant-stop-soros-laws" TargetMode="External"/><Relationship Id="rId20" Type="http://schemas.openxmlformats.org/officeDocument/2006/relationships/hyperlink" Target="https://enlargement.ec.europa.eu/system/files/2018-12/20161109_report_bosnia_and_herzegovina.pdf" TargetMode="External"/><Relationship Id="rId41" Type="http://schemas.openxmlformats.org/officeDocument/2006/relationships/hyperlink" Target="https://asylumineurope.org/reports/country/serbia/overview-main-changes-previous-report-update/" TargetMode="External"/><Relationship Id="rId62" Type="http://schemas.openxmlformats.org/officeDocument/2006/relationships/hyperlink" Target="https://albania.iom.int/resources/national-strategy-migration-and-action-plan-2019-2022" TargetMode="External"/><Relationship Id="rId83" Type="http://schemas.openxmlformats.org/officeDocument/2006/relationships/hyperlink" Target="https://migrant-integration.ec.europa.eu/index.php/country-governance/governance-migrant-integration-slovenia_en" TargetMode="External"/><Relationship Id="rId88" Type="http://schemas.openxmlformats.org/officeDocument/2006/relationships/hyperlink" Target="https://migrant-integration.ec.europa.eu/country-governance/governance-migrant-integration-slovenia_en" TargetMode="External"/><Relationship Id="rId111" Type="http://schemas.openxmlformats.org/officeDocument/2006/relationships/hyperlink" Target="https://emn.gov.hr/UserDocsImages/EMN_kratka_izvjesca/2015_emn_country_factsheet_hr_final.pdf" TargetMode="External"/><Relationship Id="rId132" Type="http://schemas.openxmlformats.org/officeDocument/2006/relationships/hyperlink" Target="https://asylumineurope.org/reports/country/croatia/asylum-procedure/access-procedure-and-registration/access-territory-and-push-backs/" TargetMode="External"/><Relationship Id="rId15" Type="http://schemas.openxmlformats.org/officeDocument/2006/relationships/hyperlink" Target="https://balkaninsight.com/2018/06/19/bosnia-s-police-border-getting-new-200-members-06-19-2018" TargetMode="External"/><Relationship Id="rId36" Type="http://schemas.openxmlformats.org/officeDocument/2006/relationships/hyperlink" Target="https://www.mena-researchcenter.org/new-migration-policy-on-the-balkans/" TargetMode="External"/><Relationship Id="rId57" Type="http://schemas.openxmlformats.org/officeDocument/2006/relationships/hyperlink" Target="http://arhiva.skupstina.me/images/dokumenti/biblioteka-i-istrazivanje/2017/17.pdf" TargetMode="External"/><Relationship Id="rId106" Type="http://schemas.openxmlformats.org/officeDocument/2006/relationships/hyperlink" Target="https://balkaninsight.com/2015/07/16/croatia-to-receive-and-accommodate-550-refugees" TargetMode="External"/><Relationship Id="rId127" Type="http://schemas.openxmlformats.org/officeDocument/2006/relationships/hyperlink" Target="https://hudoc.echr.coe.int/fre" TargetMode="External"/><Relationship Id="rId10" Type="http://schemas.openxmlformats.org/officeDocument/2006/relationships/hyperlink" Target="https://balkaninsight.com/2020/12/23/bosnias-troubled-lipa-camp-set-alight-on-closure-day/" TargetMode="External"/><Relationship Id="rId31" Type="http://schemas.openxmlformats.org/officeDocument/2006/relationships/hyperlink" Target="https://www.reuters.com/world/europe/slovak-pm-fico-says-fight-against-illegal-migration-an-absolute-priority-2024-10-22" TargetMode="External"/><Relationship Id="rId52" Type="http://schemas.openxmlformats.org/officeDocument/2006/relationships/hyperlink" Target="https://index.statelessness.eu/news/north-macedonia-takes-positive-step-towards-ending-statelessness?language=en" TargetMode="External"/><Relationship Id="rId73" Type="http://schemas.openxmlformats.org/officeDocument/2006/relationships/hyperlink" Target="https://mpb.rks-gov.net/Uploads/Documents/Pdf/EN/378/Strategy-on-Migration-2021-2025-anglisht.pdf" TargetMode="External"/><Relationship Id="rId78" Type="http://schemas.openxmlformats.org/officeDocument/2006/relationships/hyperlink" Target="https://www.politico.eu/article/slovenia-to-build-croatia-border-fence-miro-cerar-migrants-control/" TargetMode="External"/><Relationship Id="rId94" Type="http://schemas.openxmlformats.org/officeDocument/2006/relationships/hyperlink" Target="https://www.gov.si/en/news/2023-03-28-changing-the-law-to-speed-up-the-recruitment-of-foreigners" TargetMode="External"/><Relationship Id="rId99" Type="http://schemas.openxmlformats.org/officeDocument/2006/relationships/hyperlink" Target="https://www.gov.si/en/news/2024-12-20-temporary-control-on-internal-borders-with-croatia-and-hungary-prolonged-until-21-june-2025" TargetMode="External"/><Relationship Id="rId101" Type="http://schemas.openxmlformats.org/officeDocument/2006/relationships/hyperlink" Target="https://www.gov.si/en/news/2019-07-18-government-adopts-a-strategy-with-regard-to-migrations" TargetMode="External"/><Relationship Id="rId122" Type="http://schemas.openxmlformats.org/officeDocument/2006/relationships/hyperlink" Target="https://balkaninsight.com/2023/05/23/bosnia-data-contradicts-croatian-claim-about-migrant-refugee-readmissions" TargetMode="External"/><Relationship Id="rId143" Type="http://schemas.openxmlformats.org/officeDocument/2006/relationships/hyperlink" Target="https://www.bbc.com/news/world-europe-33244800" TargetMode="External"/><Relationship Id="rId4" Type="http://schemas.openxmlformats.org/officeDocument/2006/relationships/hyperlink" Target="https://www.refworld.org/legal/legislation/natlegbod/2016/en/123226" TargetMode="External"/><Relationship Id="rId9" Type="http://schemas.openxmlformats.org/officeDocument/2006/relationships/hyperlink" Target="https://movements-journal.org/issues/08.balkanroute/08.hromadzic--notes-from-the-field.html" TargetMode="External"/><Relationship Id="rId26" Type="http://schemas.openxmlformats.org/officeDocument/2006/relationships/hyperlink" Target="https://www.srbija.gov.rs/vest/en/150705/government-adopts-economic-migration-strategy.php" TargetMode="External"/><Relationship Id="rId47" Type="http://schemas.openxmlformats.org/officeDocument/2006/relationships/hyperlink" Target="https://www.osw.waw.pl/en/publikacje/analyses/2015-08-26/macedonia-and-migrant-crisis" TargetMode="External"/><Relationship Id="rId68" Type="http://schemas.openxmlformats.org/officeDocument/2006/relationships/hyperlink" Target="https://mb.gov.al/wp-content/uploads/2024/10/EN-_Profili_i_Migracionit_2015-2.pdf" TargetMode="External"/><Relationship Id="rId89" Type="http://schemas.openxmlformats.org/officeDocument/2006/relationships/hyperlink" Target="https://ecre.org/aida-2020-update-slovenia" TargetMode="External"/><Relationship Id="rId112" Type="http://schemas.openxmlformats.org/officeDocument/2006/relationships/hyperlink" Target="https://www.theguardian.com/world/2016/mar/09/slovenia-and-croatia-ban-the-transit-of-refugees" TargetMode="External"/><Relationship Id="rId133" Type="http://schemas.openxmlformats.org/officeDocument/2006/relationships/hyperlink" Target="https://www.ibtimes.com/european-refugee-crisis-hungary-enacts-tough-new-laws-closes-key-border-crossing-2096891" TargetMode="External"/><Relationship Id="rId16" Type="http://schemas.openxmlformats.org/officeDocument/2006/relationships/hyperlink" Target="https://enlargement.ec.europa.eu/document/download/fa9da504-4ecb-4317-b583-c9fff0b833b2_en" TargetMode="External"/><Relationship Id="rId37" Type="http://schemas.openxmlformats.org/officeDocument/2006/relationships/hyperlink" Target="https://www.theguardian.com/global-development/2024/feb/22/videos-show-migrants-stripped-of-clothing-in-freezing-temperatures-at-serbian-border" TargetMode="External"/><Relationship Id="rId58" Type="http://schemas.openxmlformats.org/officeDocument/2006/relationships/hyperlink" Target="https://www.coe.int/en/web/migration-and-refugees/-/montenegro-law-on-foreigners" TargetMode="External"/><Relationship Id="rId79" Type="http://schemas.openxmlformats.org/officeDocument/2006/relationships/hyperlink" Target="https://www.dw.com/en/slovenia-deploys-army-to-schengen-zone-border-to-tackle-refugee-influx/a-19066844" TargetMode="External"/><Relationship Id="rId102" Type="http://schemas.openxmlformats.org/officeDocument/2006/relationships/hyperlink" Target="https://www.gov.si/en/news/2022-06-22-return-is-one-of-key-pillars-of-an-effective-migration-policy/" TargetMode="External"/><Relationship Id="rId123" Type="http://schemas.openxmlformats.org/officeDocument/2006/relationships/hyperlink" Target="https://balkaninsight.com/2024/09/19/croatias-capital-opens-one-stop-shop-for-refugees-asylum-seekers/" TargetMode="External"/><Relationship Id="rId144" Type="http://schemas.openxmlformats.org/officeDocument/2006/relationships/hyperlink" Target="https://hungary.iom.int/european-migration-crisis-and-hungary"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microsoft.com/office/2007/relationships/slicer" Target="../slicers/slicer1.xml"/></Relationships>
</file>

<file path=xl/worksheets/_rels/sheet22.xml.rels><?xml version="1.0" encoding="UTF-8" standalone="yes"?>
<Relationships xmlns="http://schemas.openxmlformats.org/package/2006/relationships"><Relationship Id="rId8" Type="http://schemas.openxmlformats.org/officeDocument/2006/relationships/hyperlink" Target="https://www.theglobaleconomy.com/rankings/academic_freedom_index/" TargetMode="External"/><Relationship Id="rId13" Type="http://schemas.openxmlformats.org/officeDocument/2006/relationships/table" Target="../tables/table24.xml"/><Relationship Id="rId18" Type="http://schemas.openxmlformats.org/officeDocument/2006/relationships/table" Target="../tables/table29.xml"/><Relationship Id="rId3" Type="http://schemas.openxmlformats.org/officeDocument/2006/relationships/hyperlink" Target="https://www.heritage.org/index/pages/all-country-scores" TargetMode="External"/><Relationship Id="rId7" Type="http://schemas.openxmlformats.org/officeDocument/2006/relationships/hyperlink" Target="https://databank.worldbank.org/SAARC-Country-Political-Stability-Index/id/6282cd19" TargetMode="External"/><Relationship Id="rId12" Type="http://schemas.openxmlformats.org/officeDocument/2006/relationships/table" Target="../tables/table23.xml"/><Relationship Id="rId17" Type="http://schemas.openxmlformats.org/officeDocument/2006/relationships/table" Target="../tables/table28.xml"/><Relationship Id="rId2" Type="http://schemas.openxmlformats.org/officeDocument/2006/relationships/hyperlink" Target="https://www.theglobaleconomy.com/rankings/civil_society_participation_index/" TargetMode="External"/><Relationship Id="rId16" Type="http://schemas.openxmlformats.org/officeDocument/2006/relationships/table" Target="../tables/table27.xml"/><Relationship Id="rId1" Type="http://schemas.openxmlformats.org/officeDocument/2006/relationships/hyperlink" Target="https://www.fraserinstitute.org/studies/human-freedom-index-2024" TargetMode="External"/><Relationship Id="rId6" Type="http://schemas.openxmlformats.org/officeDocument/2006/relationships/hyperlink" Target="https://tradingeconomics.com/indicators" TargetMode="External"/><Relationship Id="rId11" Type="http://schemas.openxmlformats.org/officeDocument/2006/relationships/table" Target="../tables/table22.xml"/><Relationship Id="rId5" Type="http://schemas.openxmlformats.org/officeDocument/2006/relationships/hyperlink" Target="https://rsf.org/en/index?year=2025" TargetMode="External"/><Relationship Id="rId15" Type="http://schemas.openxmlformats.org/officeDocument/2006/relationships/table" Target="../tables/table26.xml"/><Relationship Id="rId10" Type="http://schemas.openxmlformats.org/officeDocument/2006/relationships/table" Target="../tables/table21.xml"/><Relationship Id="rId4" Type="http://schemas.openxmlformats.org/officeDocument/2006/relationships/hyperlink" Target="https://ourworldindata.org/grapher/democracy-index-eiu" TargetMode="External"/><Relationship Id="rId9" Type="http://schemas.openxmlformats.org/officeDocument/2006/relationships/printerSettings" Target="../printerSettings/printerSettings3.bin"/><Relationship Id="rId14" Type="http://schemas.openxmlformats.org/officeDocument/2006/relationships/table" Target="../tables/table25.xml"/></Relationships>
</file>

<file path=xl/worksheets/_rels/sheet23.xml.rels><?xml version="1.0" encoding="UTF-8" standalone="yes"?>
<Relationships xmlns="http://schemas.openxmlformats.org/package/2006/relationships"><Relationship Id="rId8" Type="http://schemas.openxmlformats.org/officeDocument/2006/relationships/table" Target="../tables/table36.xml"/><Relationship Id="rId3" Type="http://schemas.openxmlformats.org/officeDocument/2006/relationships/table" Target="../tables/table31.xml"/><Relationship Id="rId7" Type="http://schemas.openxmlformats.org/officeDocument/2006/relationships/table" Target="../tables/table35.xml"/><Relationship Id="rId2" Type="http://schemas.openxmlformats.org/officeDocument/2006/relationships/table" Target="../tables/table30.xml"/><Relationship Id="rId1" Type="http://schemas.openxmlformats.org/officeDocument/2006/relationships/drawing" Target="../drawings/drawing11.xml"/><Relationship Id="rId6" Type="http://schemas.openxmlformats.org/officeDocument/2006/relationships/table" Target="../tables/table34.xml"/><Relationship Id="rId5" Type="http://schemas.openxmlformats.org/officeDocument/2006/relationships/table" Target="../tables/table33.xml"/><Relationship Id="rId10" Type="http://schemas.openxmlformats.org/officeDocument/2006/relationships/table" Target="../tables/table38.xml"/><Relationship Id="rId4" Type="http://schemas.openxmlformats.org/officeDocument/2006/relationships/table" Target="../tables/table32.xml"/><Relationship Id="rId9" Type="http://schemas.openxmlformats.org/officeDocument/2006/relationships/table" Target="../tables/table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04B86-C6D4-4CE4-925D-7859B84EBE0E}">
  <dimension ref="A1:C55"/>
  <sheetViews>
    <sheetView tabSelected="1" workbookViewId="0"/>
  </sheetViews>
  <sheetFormatPr defaultRowHeight="14.4" x14ac:dyDescent="0.3"/>
  <cols>
    <col min="1" max="1" width="54.5546875" bestFit="1" customWidth="1"/>
    <col min="2" max="2" width="29.88671875" bestFit="1" customWidth="1"/>
    <col min="3" max="3" width="31.109375" bestFit="1" customWidth="1"/>
    <col min="4" max="4" width="20.109375" customWidth="1"/>
    <col min="5" max="5" width="52.6640625" bestFit="1" customWidth="1"/>
  </cols>
  <sheetData>
    <row r="1" spans="1:3" x14ac:dyDescent="0.3">
      <c r="A1" s="68" t="s">
        <v>444</v>
      </c>
      <c r="B1" s="69" t="s">
        <v>445</v>
      </c>
      <c r="C1" s="70" t="s">
        <v>446</v>
      </c>
    </row>
    <row r="2" spans="1:3" x14ac:dyDescent="0.3">
      <c r="A2" s="64" t="s">
        <v>412</v>
      </c>
      <c r="B2" s="65">
        <v>10</v>
      </c>
      <c r="C2" s="71" t="s">
        <v>412</v>
      </c>
    </row>
    <row r="3" spans="1:3" x14ac:dyDescent="0.3">
      <c r="A3" s="64" t="s">
        <v>408</v>
      </c>
      <c r="B3" s="65">
        <v>10</v>
      </c>
      <c r="C3" s="72" t="s">
        <v>447</v>
      </c>
    </row>
    <row r="4" spans="1:3" x14ac:dyDescent="0.3">
      <c r="A4" s="64" t="s">
        <v>386</v>
      </c>
      <c r="B4" s="65">
        <v>10</v>
      </c>
      <c r="C4" s="72" t="s">
        <v>386</v>
      </c>
    </row>
    <row r="5" spans="1:3" x14ac:dyDescent="0.3">
      <c r="A5" s="64" t="s">
        <v>390</v>
      </c>
      <c r="B5" s="65">
        <v>9</v>
      </c>
      <c r="C5" s="72" t="s">
        <v>448</v>
      </c>
    </row>
    <row r="6" spans="1:3" x14ac:dyDescent="0.3">
      <c r="A6" s="64" t="s">
        <v>397</v>
      </c>
      <c r="B6" s="65">
        <v>8</v>
      </c>
      <c r="C6" s="72" t="s">
        <v>397</v>
      </c>
    </row>
    <row r="7" spans="1:3" x14ac:dyDescent="0.3">
      <c r="A7" s="64" t="s">
        <v>392</v>
      </c>
      <c r="B7" s="65">
        <v>8</v>
      </c>
      <c r="C7" s="72" t="s">
        <v>449</v>
      </c>
    </row>
    <row r="8" spans="1:3" x14ac:dyDescent="0.3">
      <c r="A8" s="64" t="s">
        <v>452</v>
      </c>
      <c r="B8" s="65">
        <v>7</v>
      </c>
      <c r="C8" s="72" t="s">
        <v>453</v>
      </c>
    </row>
    <row r="9" spans="1:3" x14ac:dyDescent="0.3">
      <c r="A9" s="64" t="s">
        <v>404</v>
      </c>
      <c r="B9" s="65">
        <v>6</v>
      </c>
      <c r="C9" s="72" t="s">
        <v>455</v>
      </c>
    </row>
    <row r="10" spans="1:3" x14ac:dyDescent="0.3">
      <c r="A10" s="64" t="s">
        <v>393</v>
      </c>
      <c r="B10" s="65">
        <v>4</v>
      </c>
      <c r="C10" s="72" t="s">
        <v>454</v>
      </c>
    </row>
    <row r="11" spans="1:3" x14ac:dyDescent="0.3">
      <c r="A11" s="64" t="s">
        <v>401</v>
      </c>
      <c r="B11" s="65">
        <v>4</v>
      </c>
      <c r="C11" s="72" t="s">
        <v>456</v>
      </c>
    </row>
    <row r="12" spans="1:3" x14ac:dyDescent="0.3">
      <c r="A12" s="64" t="s">
        <v>385</v>
      </c>
      <c r="B12" s="65">
        <v>4</v>
      </c>
      <c r="C12" s="72" t="s">
        <v>385</v>
      </c>
    </row>
    <row r="13" spans="1:3" x14ac:dyDescent="0.3">
      <c r="A13" s="64" t="s">
        <v>394</v>
      </c>
      <c r="B13" s="65">
        <v>3</v>
      </c>
      <c r="C13" s="72" t="s">
        <v>394</v>
      </c>
    </row>
    <row r="14" spans="1:3" x14ac:dyDescent="0.3">
      <c r="A14" s="64" t="s">
        <v>391</v>
      </c>
      <c r="B14" s="65">
        <v>2</v>
      </c>
      <c r="C14" s="72" t="s">
        <v>391</v>
      </c>
    </row>
    <row r="15" spans="1:3" x14ac:dyDescent="0.3">
      <c r="A15" s="64" t="s">
        <v>420</v>
      </c>
      <c r="B15" s="65">
        <v>2</v>
      </c>
      <c r="C15" s="72" t="s">
        <v>450</v>
      </c>
    </row>
    <row r="16" spans="1:3" x14ac:dyDescent="0.3">
      <c r="A16" s="64" t="s">
        <v>400</v>
      </c>
      <c r="B16" s="65">
        <v>2</v>
      </c>
      <c r="C16" s="72" t="s">
        <v>400</v>
      </c>
    </row>
    <row r="17" spans="1:3" x14ac:dyDescent="0.3">
      <c r="A17" s="64" t="s">
        <v>398</v>
      </c>
      <c r="B17" s="65">
        <v>2</v>
      </c>
      <c r="C17" s="72" t="s">
        <v>451</v>
      </c>
    </row>
    <row r="18" spans="1:3" x14ac:dyDescent="0.3">
      <c r="A18" s="64" t="s">
        <v>415</v>
      </c>
      <c r="B18" s="65">
        <v>2</v>
      </c>
      <c r="C18" s="72" t="s">
        <v>458</v>
      </c>
    </row>
    <row r="19" spans="1:3" x14ac:dyDescent="0.3">
      <c r="A19" s="64" t="s">
        <v>403</v>
      </c>
      <c r="B19" s="65">
        <v>2</v>
      </c>
      <c r="C19" s="72" t="s">
        <v>459</v>
      </c>
    </row>
    <row r="20" spans="1:3" x14ac:dyDescent="0.3">
      <c r="A20" s="64" t="s">
        <v>439</v>
      </c>
      <c r="B20" s="65">
        <v>2</v>
      </c>
      <c r="C20" s="72" t="s">
        <v>460</v>
      </c>
    </row>
    <row r="21" spans="1:3" x14ac:dyDescent="0.3">
      <c r="A21" s="64" t="s">
        <v>388</v>
      </c>
      <c r="B21" s="65">
        <v>2</v>
      </c>
      <c r="C21" s="72" t="s">
        <v>388</v>
      </c>
    </row>
    <row r="22" spans="1:3" x14ac:dyDescent="0.3">
      <c r="A22" s="64" t="s">
        <v>389</v>
      </c>
      <c r="B22" s="65">
        <v>1</v>
      </c>
      <c r="C22" s="72" t="s">
        <v>461</v>
      </c>
    </row>
    <row r="23" spans="1:3" x14ac:dyDescent="0.3">
      <c r="A23" s="64" t="s">
        <v>440</v>
      </c>
      <c r="B23" s="65">
        <v>1</v>
      </c>
      <c r="C23" s="72" t="s">
        <v>462</v>
      </c>
    </row>
    <row r="24" spans="1:3" x14ac:dyDescent="0.3">
      <c r="A24" s="64" t="s">
        <v>418</v>
      </c>
      <c r="B24" s="65">
        <v>1</v>
      </c>
      <c r="C24" s="72" t="s">
        <v>418</v>
      </c>
    </row>
    <row r="25" spans="1:3" x14ac:dyDescent="0.3">
      <c r="A25" s="64" t="s">
        <v>463</v>
      </c>
      <c r="B25" s="65">
        <v>1</v>
      </c>
      <c r="C25" s="72" t="s">
        <v>464</v>
      </c>
    </row>
    <row r="26" spans="1:3" x14ac:dyDescent="0.3">
      <c r="A26" s="64" t="s">
        <v>432</v>
      </c>
      <c r="B26" s="65">
        <v>1</v>
      </c>
      <c r="C26" s="72" t="s">
        <v>465</v>
      </c>
    </row>
    <row r="27" spans="1:3" x14ac:dyDescent="0.3">
      <c r="A27" s="64" t="s">
        <v>437</v>
      </c>
      <c r="B27" s="65">
        <v>1</v>
      </c>
      <c r="C27" s="72" t="s">
        <v>437</v>
      </c>
    </row>
    <row r="28" spans="1:3" x14ac:dyDescent="0.3">
      <c r="A28" s="64" t="s">
        <v>407</v>
      </c>
      <c r="B28" s="65">
        <v>1</v>
      </c>
      <c r="C28" s="72" t="s">
        <v>466</v>
      </c>
    </row>
    <row r="29" spans="1:3" x14ac:dyDescent="0.3">
      <c r="A29" s="64" t="s">
        <v>402</v>
      </c>
      <c r="B29" s="65">
        <v>1</v>
      </c>
      <c r="C29" s="72" t="s">
        <v>467</v>
      </c>
    </row>
    <row r="30" spans="1:3" x14ac:dyDescent="0.3">
      <c r="A30" s="64" t="s">
        <v>414</v>
      </c>
      <c r="B30" s="65">
        <v>1</v>
      </c>
      <c r="C30" s="72" t="s">
        <v>468</v>
      </c>
    </row>
    <row r="31" spans="1:3" x14ac:dyDescent="0.3">
      <c r="A31" s="64" t="s">
        <v>424</v>
      </c>
      <c r="B31" s="65">
        <v>1</v>
      </c>
      <c r="C31" s="72" t="s">
        <v>457</v>
      </c>
    </row>
    <row r="32" spans="1:3" x14ac:dyDescent="0.3">
      <c r="A32" s="64" t="s">
        <v>422</v>
      </c>
      <c r="B32" s="65">
        <v>1</v>
      </c>
      <c r="C32" s="72" t="s">
        <v>469</v>
      </c>
    </row>
    <row r="33" spans="1:3" x14ac:dyDescent="0.3">
      <c r="A33" s="64" t="s">
        <v>395</v>
      </c>
      <c r="B33" s="65">
        <v>1</v>
      </c>
      <c r="C33" s="72" t="s">
        <v>395</v>
      </c>
    </row>
    <row r="34" spans="1:3" x14ac:dyDescent="0.3">
      <c r="A34" s="64" t="s">
        <v>421</v>
      </c>
      <c r="B34" s="65">
        <v>1</v>
      </c>
      <c r="C34" s="72" t="s">
        <v>470</v>
      </c>
    </row>
    <row r="35" spans="1:3" x14ac:dyDescent="0.3">
      <c r="A35" s="64" t="s">
        <v>433</v>
      </c>
      <c r="B35" s="65">
        <v>1</v>
      </c>
      <c r="C35" s="72" t="s">
        <v>471</v>
      </c>
    </row>
    <row r="36" spans="1:3" x14ac:dyDescent="0.3">
      <c r="A36" s="64" t="s">
        <v>417</v>
      </c>
      <c r="B36" s="65">
        <v>1</v>
      </c>
      <c r="C36" s="72" t="s">
        <v>472</v>
      </c>
    </row>
    <row r="37" spans="1:3" x14ac:dyDescent="0.3">
      <c r="A37" s="64" t="s">
        <v>411</v>
      </c>
      <c r="B37" s="65">
        <v>1</v>
      </c>
      <c r="C37" s="72" t="s">
        <v>411</v>
      </c>
    </row>
    <row r="38" spans="1:3" x14ac:dyDescent="0.3">
      <c r="A38" s="64" t="s">
        <v>413</v>
      </c>
      <c r="B38" s="65">
        <v>1</v>
      </c>
      <c r="C38" s="72" t="s">
        <v>473</v>
      </c>
    </row>
    <row r="39" spans="1:3" x14ac:dyDescent="0.3">
      <c r="A39" s="64" t="s">
        <v>438</v>
      </c>
      <c r="B39" s="65">
        <v>1</v>
      </c>
      <c r="C39" s="72" t="s">
        <v>474</v>
      </c>
    </row>
    <row r="40" spans="1:3" x14ac:dyDescent="0.3">
      <c r="A40" s="64" t="s">
        <v>435</v>
      </c>
      <c r="B40" s="65">
        <v>1</v>
      </c>
      <c r="C40" s="72" t="s">
        <v>475</v>
      </c>
    </row>
    <row r="41" spans="1:3" x14ac:dyDescent="0.3">
      <c r="A41" s="64" t="s">
        <v>442</v>
      </c>
      <c r="B41" s="65">
        <v>1</v>
      </c>
      <c r="C41" s="72" t="s">
        <v>476</v>
      </c>
    </row>
    <row r="42" spans="1:3" x14ac:dyDescent="0.3">
      <c r="A42" s="64" t="s">
        <v>477</v>
      </c>
      <c r="B42" s="65">
        <v>1</v>
      </c>
      <c r="C42" s="72" t="s">
        <v>478</v>
      </c>
    </row>
    <row r="43" spans="1:3" x14ac:dyDescent="0.3">
      <c r="A43" s="64" t="s">
        <v>436</v>
      </c>
      <c r="B43" s="65">
        <v>1</v>
      </c>
      <c r="C43" s="72" t="s">
        <v>436</v>
      </c>
    </row>
    <row r="44" spans="1:3" x14ac:dyDescent="0.3">
      <c r="A44" s="64" t="s">
        <v>410</v>
      </c>
      <c r="B44" s="65">
        <v>1</v>
      </c>
      <c r="C44" s="72" t="s">
        <v>410</v>
      </c>
    </row>
    <row r="45" spans="1:3" x14ac:dyDescent="0.3">
      <c r="A45" s="64" t="s">
        <v>406</v>
      </c>
      <c r="B45" s="65">
        <v>1</v>
      </c>
      <c r="C45" s="72" t="s">
        <v>479</v>
      </c>
    </row>
    <row r="46" spans="1:3" x14ac:dyDescent="0.3">
      <c r="A46" s="64" t="s">
        <v>441</v>
      </c>
      <c r="B46" s="65">
        <v>1</v>
      </c>
      <c r="C46" s="72" t="s">
        <v>480</v>
      </c>
    </row>
    <row r="47" spans="1:3" x14ac:dyDescent="0.3">
      <c r="A47" s="64" t="s">
        <v>434</v>
      </c>
      <c r="B47" s="65">
        <v>1</v>
      </c>
      <c r="C47" s="72" t="s">
        <v>481</v>
      </c>
    </row>
    <row r="48" spans="1:3" x14ac:dyDescent="0.3">
      <c r="A48" s="64" t="s">
        <v>399</v>
      </c>
      <c r="B48" s="65">
        <v>1</v>
      </c>
      <c r="C48" s="72" t="s">
        <v>482</v>
      </c>
    </row>
    <row r="49" spans="1:3" x14ac:dyDescent="0.3">
      <c r="A49" s="64" t="s">
        <v>387</v>
      </c>
      <c r="B49" s="65">
        <v>1</v>
      </c>
      <c r="C49" s="72" t="s">
        <v>483</v>
      </c>
    </row>
    <row r="50" spans="1:3" x14ac:dyDescent="0.3">
      <c r="A50" s="64" t="s">
        <v>416</v>
      </c>
      <c r="B50" s="65">
        <v>1</v>
      </c>
      <c r="C50" s="72" t="s">
        <v>416</v>
      </c>
    </row>
    <row r="51" spans="1:3" x14ac:dyDescent="0.3">
      <c r="A51" s="64" t="s">
        <v>443</v>
      </c>
      <c r="B51" s="65">
        <v>1</v>
      </c>
      <c r="C51" s="72" t="s">
        <v>443</v>
      </c>
    </row>
    <row r="52" spans="1:3" x14ac:dyDescent="0.3">
      <c r="A52" s="64" t="s">
        <v>396</v>
      </c>
      <c r="B52" s="65">
        <v>1</v>
      </c>
      <c r="C52" s="72" t="s">
        <v>396</v>
      </c>
    </row>
    <row r="53" spans="1:3" x14ac:dyDescent="0.3">
      <c r="A53" s="64" t="s">
        <v>419</v>
      </c>
      <c r="B53" s="65">
        <v>1</v>
      </c>
      <c r="C53" s="72" t="s">
        <v>484</v>
      </c>
    </row>
    <row r="54" spans="1:3" x14ac:dyDescent="0.3">
      <c r="A54" s="64" t="s">
        <v>423</v>
      </c>
      <c r="B54" s="65">
        <v>1</v>
      </c>
      <c r="C54" s="72" t="s">
        <v>485</v>
      </c>
    </row>
    <row r="55" spans="1:3" x14ac:dyDescent="0.3">
      <c r="A55" s="66" t="s">
        <v>409</v>
      </c>
      <c r="B55" s="67">
        <v>1</v>
      </c>
      <c r="C55" s="73" t="s">
        <v>486</v>
      </c>
    </row>
  </sheetData>
  <hyperlinks>
    <hyperlink ref="C2" r:id="rId1" xr:uid="{E361DC03-C4FF-41FD-B4FB-C1BA2A97272A}"/>
    <hyperlink ref="C3" r:id="rId2" xr:uid="{FF926A58-44BC-4940-87E0-5C92A048DCB3}"/>
    <hyperlink ref="C4" r:id="rId3" xr:uid="{32BD5A88-F67B-4848-8281-DB7AA3DB6ABD}"/>
    <hyperlink ref="C5" r:id="rId4" xr:uid="{A3CC7F89-46E0-4C90-8FBC-66E4DB735215}"/>
    <hyperlink ref="C6" r:id="rId5" xr:uid="{1047A732-3815-4C20-95E1-16834D79CBBE}"/>
    <hyperlink ref="C7" r:id="rId6" xr:uid="{86F47D1D-30DD-4B29-9978-7DC60A6A83C6}"/>
    <hyperlink ref="C8" r:id="rId7" xr:uid="{D69560E2-B944-4D1B-A348-7B7ABB76FF2D}"/>
    <hyperlink ref="C10" r:id="rId8" xr:uid="{39A5D2AA-C3B6-47A8-A248-2E81D6F7285E}"/>
    <hyperlink ref="C9" r:id="rId9" xr:uid="{97DB1170-31B1-4D0D-AA19-4B1788B84985}"/>
    <hyperlink ref="C11" r:id="rId10" xr:uid="{FBE3E27F-877C-4B30-932C-FB6FAFAFEF62}"/>
    <hyperlink ref="C12" r:id="rId11" xr:uid="{4E627D12-7CF0-48C2-BB20-06792B99DCB8}"/>
    <hyperlink ref="C13" r:id="rId12" xr:uid="{BB0B30D6-8343-47CA-ADA4-EB41C3D75D6C}"/>
    <hyperlink ref="C14" r:id="rId13" xr:uid="{941D3970-43F5-4AE0-85E6-28D7C70F206F}"/>
    <hyperlink ref="C15" r:id="rId14" xr:uid="{38F1CB8C-B78C-4087-9BFA-030FEC7BD1CC}"/>
    <hyperlink ref="C16" r:id="rId15" xr:uid="{A95399BD-2D69-4A8C-A90E-189C03CCCBD5}"/>
    <hyperlink ref="C17" r:id="rId16" location="{%22documentcollectionid2%22:[%22GRANDCHAMBER%22,%22CHAMBER%22]}" xr:uid="{1165D2F6-D9F5-49C7-851D-CC839943D0DD}"/>
    <hyperlink ref="C18" r:id="rId17" xr:uid="{3BBDC602-39CD-464B-A6BD-D7FFEC438E95}"/>
    <hyperlink ref="C19" r:id="rId18" xr:uid="{A8722DAD-9A28-483E-B883-E7CE2235ABC4}"/>
    <hyperlink ref="C20" r:id="rId19" xr:uid="{BE188736-EF0B-4A7D-B0EE-F72F52A4B89D}"/>
    <hyperlink ref="C21" r:id="rId20" xr:uid="{460EDFC3-EEF6-423D-B5DE-097F0CF1DFCE}"/>
    <hyperlink ref="C22" r:id="rId21" xr:uid="{4657A895-AE70-4BD8-B854-9C2ED8EA561B}"/>
    <hyperlink ref="C23" r:id="rId22" xr:uid="{016BBC90-BA8B-4B60-96C7-215A05FCB0EC}"/>
    <hyperlink ref="C24" r:id="rId23" xr:uid="{DB26DEEE-D8F4-4EA6-9DE4-24565292A088}"/>
    <hyperlink ref="C25" r:id="rId24" xr:uid="{B0C50155-184D-4C3D-A614-748A4D4DFA7E}"/>
    <hyperlink ref="C26" r:id="rId25" xr:uid="{3C68730A-09AA-41CA-B55A-A6F454187DE6}"/>
    <hyperlink ref="C27" r:id="rId26" xr:uid="{76E606BE-0FD0-4CA4-BE3A-AF068062FE6E}"/>
    <hyperlink ref="C28" r:id="rId27" xr:uid="{75FBDD89-1096-4ABD-9678-1DC1026EEB6C}"/>
    <hyperlink ref="C29" r:id="rId28" xr:uid="{C1FF943A-2C28-4643-AE66-876ECB0AD7C4}"/>
    <hyperlink ref="C30" r:id="rId29" xr:uid="{88AAD28F-EC6B-4081-99C0-91675AA9135C}"/>
    <hyperlink ref="C31" r:id="rId30" xr:uid="{325D2E84-FF5F-4647-91B7-B23E29653118}"/>
    <hyperlink ref="C32" r:id="rId31" xr:uid="{0076677E-C1F3-4ED3-8D4C-4F49CD07B20F}"/>
    <hyperlink ref="C33" r:id="rId32" xr:uid="{2F63A24C-A920-4C12-B00D-D447EAF619D6}"/>
    <hyperlink ref="C34" r:id="rId33" xr:uid="{4C5140AE-2393-419D-8A72-BB901EC3E7DD}"/>
    <hyperlink ref="C35" r:id="rId34" xr:uid="{52575045-26AB-42AF-B6E1-19E16A8B796E}"/>
    <hyperlink ref="C36" r:id="rId35" xr:uid="{5212AB06-9E1A-4CD8-8D0D-9642D8870FD2}"/>
    <hyperlink ref="C37" r:id="rId36" xr:uid="{CDEB11FF-BBCD-4EB7-847B-BBD48F39DC7A}"/>
    <hyperlink ref="C38" r:id="rId37" xr:uid="{548517CB-4D8A-4285-924C-1CF962E63A10}"/>
    <hyperlink ref="C39" r:id="rId38" xr:uid="{F770547E-86FE-4F41-9E1C-DE54FDEFAFC3}"/>
    <hyperlink ref="C40" r:id="rId39" xr:uid="{D61AB048-8AAC-4B22-9223-AFA99CA9021A}"/>
    <hyperlink ref="C41" r:id="rId40" xr:uid="{A0890ADF-47B0-4DCE-989A-0ADF0D71CD04}"/>
    <hyperlink ref="C42" r:id="rId41" xr:uid="{22BC584B-FBF9-482F-99AF-0E3F75D45702}"/>
    <hyperlink ref="C43" r:id="rId42" xr:uid="{1F037D32-3E7A-4246-A058-36B85FA9E44D}"/>
    <hyperlink ref="C44" r:id="rId43" xr:uid="{F27BDABE-2AD0-489B-BAC0-046ACDB53C94}"/>
    <hyperlink ref="C45" r:id="rId44" xr:uid="{B3902E7B-9917-4F2E-899A-30BAAC754C7B}"/>
    <hyperlink ref="C46" r:id="rId45" xr:uid="{E450A929-F192-4C02-B883-AC7DB3EB5169}"/>
    <hyperlink ref="C47" r:id="rId46" xr:uid="{D9B6B698-E693-4A38-8E40-343AF09064A2}"/>
    <hyperlink ref="C48" r:id="rId47" xr:uid="{DFF5DE96-7D40-42BE-8BE5-CBD478CEAB7B}"/>
    <hyperlink ref="C49" r:id="rId48" xr:uid="{E4BAB4F4-0AA3-4BBD-8B22-32E9F7D1C25F}"/>
    <hyperlink ref="C50" r:id="rId49" xr:uid="{628D8293-2597-4514-B274-290D98B0B8DF}"/>
    <hyperlink ref="C51" r:id="rId50" xr:uid="{9B54064A-9482-4572-89E7-BB849E837BD3}"/>
    <hyperlink ref="C52" r:id="rId51" xr:uid="{E8D802D3-9E9C-45A9-92F2-7E2FF71313A5}"/>
    <hyperlink ref="C53" r:id="rId52" xr:uid="{4C189784-5867-4CBA-97E9-C13107F9C27D}"/>
    <hyperlink ref="C54" r:id="rId53" display="Northmacedonia.UN.ORG" xr:uid="{FA024772-5BD0-4442-B98C-C0A482EC7DCA}"/>
    <hyperlink ref="C55" r:id="rId54" xr:uid="{33C24722-2EAD-460D-9ACF-B5B561DA15D7}"/>
  </hyperlinks>
  <pageMargins left="0.7" right="0.7" top="0.75" bottom="0.75" header="0.3" footer="0.3"/>
  <pageSetup paperSize="9" orientation="portrait" r:id="rId55"/>
  <tableParts count="1">
    <tablePart r:id="rId5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0D676-A6CD-4B91-A345-5FCC7E72D2EB}">
  <dimension ref="A1:Q35"/>
  <sheetViews>
    <sheetView workbookViewId="0"/>
  </sheetViews>
  <sheetFormatPr defaultRowHeight="14.4" x14ac:dyDescent="0.3"/>
  <cols>
    <col min="1" max="1" width="11.88671875" customWidth="1"/>
    <col min="2" max="2" width="9.6640625" customWidth="1"/>
    <col min="3" max="3" width="17.77734375" bestFit="1" customWidth="1"/>
    <col min="4" max="4" width="134.6640625" bestFit="1" customWidth="1"/>
    <col min="5" max="5" width="38.6640625" bestFit="1" customWidth="1"/>
    <col min="6" max="6" width="17.88671875" bestFit="1" customWidth="1"/>
    <col min="7" max="7" width="8.5546875" bestFit="1" customWidth="1"/>
    <col min="8" max="8" width="19.109375" bestFit="1" customWidth="1"/>
    <col min="9" max="9" width="25.77734375" bestFit="1" customWidth="1"/>
    <col min="10" max="10" width="19.88671875" bestFit="1" customWidth="1"/>
    <col min="11" max="11" width="22.88671875" bestFit="1" customWidth="1"/>
    <col min="12" max="12" width="14.33203125" bestFit="1" customWidth="1"/>
    <col min="13" max="13" width="9.109375" bestFit="1" customWidth="1"/>
    <col min="14" max="14" width="50.77734375" customWidth="1"/>
    <col min="15" max="15" width="52.6640625" bestFit="1" customWidth="1"/>
    <col min="16" max="16" width="118.33203125" bestFit="1" customWidth="1"/>
    <col min="17" max="17" width="22.88671875" bestFit="1" customWidth="1"/>
  </cols>
  <sheetData>
    <row r="1" spans="1:17" ht="14.4" customHeight="1" x14ac:dyDescent="0.3">
      <c r="A1" s="18" t="s">
        <v>10</v>
      </c>
      <c r="B1" s="19" t="s">
        <v>9</v>
      </c>
      <c r="C1" s="19" t="s">
        <v>72</v>
      </c>
      <c r="D1" s="19" t="s">
        <v>64</v>
      </c>
      <c r="E1" s="19" t="s">
        <v>71</v>
      </c>
      <c r="F1" s="19" t="s">
        <v>572</v>
      </c>
      <c r="G1" s="19" t="s">
        <v>239</v>
      </c>
      <c r="H1" s="19" t="s">
        <v>244</v>
      </c>
      <c r="I1" s="19" t="s">
        <v>240</v>
      </c>
      <c r="J1" s="19" t="s">
        <v>241</v>
      </c>
      <c r="K1" s="19" t="s">
        <v>242</v>
      </c>
      <c r="L1" s="20" t="s">
        <v>571</v>
      </c>
      <c r="M1" s="20" t="s">
        <v>487</v>
      </c>
      <c r="N1" s="20" t="s">
        <v>488</v>
      </c>
      <c r="O1" s="20" t="s">
        <v>384</v>
      </c>
      <c r="P1" s="20" t="s">
        <v>641</v>
      </c>
      <c r="Q1" s="19" t="s">
        <v>642</v>
      </c>
    </row>
    <row r="2" spans="1:17" ht="14.4" customHeight="1" x14ac:dyDescent="0.3">
      <c r="A2" s="15">
        <v>10</v>
      </c>
      <c r="B2" s="7" t="s">
        <v>6</v>
      </c>
      <c r="C2" s="8">
        <v>42187</v>
      </c>
      <c r="D2" s="9" t="s">
        <v>76</v>
      </c>
      <c r="E2" s="1" t="s">
        <v>123</v>
      </c>
      <c r="F2" s="1">
        <f>Croatia_Policies_Table[[#This Row],[Rating]]*Croatia_Policies_Table[[#This Row],[Impact Value]]</f>
        <v>3</v>
      </c>
      <c r="G2" s="1">
        <f>SUM(Croatia_Policies_Table[[#This Row],[Impact on Country]:[Impact on EU Relations]])</f>
        <v>3</v>
      </c>
      <c r="H2" s="7">
        <v>1</v>
      </c>
      <c r="I2" s="15">
        <v>0</v>
      </c>
      <c r="J2" s="7">
        <v>1</v>
      </c>
      <c r="K2" s="7">
        <v>1</v>
      </c>
      <c r="L2" s="61" cm="1">
        <f t="array" ref="L2">_xlfn.SWITCH(Croatia_Policies_Table[[#This Row],[Impact]], "High", 1, "Medium", 0.66, "Low", 0.33)</f>
        <v>1</v>
      </c>
      <c r="M2" s="61" t="s">
        <v>489</v>
      </c>
      <c r="N2" s="61" t="s">
        <v>523</v>
      </c>
      <c r="O2" s="61" t="s">
        <v>452</v>
      </c>
      <c r="P2" s="16" t="s">
        <v>75</v>
      </c>
      <c r="Q2" s="82">
        <v>5</v>
      </c>
    </row>
    <row r="3" spans="1:17" ht="14.4" customHeight="1" x14ac:dyDescent="0.3">
      <c r="A3" s="15">
        <v>10</v>
      </c>
      <c r="B3" s="7" t="s">
        <v>6</v>
      </c>
      <c r="C3" s="8">
        <v>42201</v>
      </c>
      <c r="D3" s="9" t="s">
        <v>74</v>
      </c>
      <c r="E3" s="1" t="s">
        <v>122</v>
      </c>
      <c r="F3" s="1">
        <f>Croatia_Policies_Table[[#This Row],[Rating]]*Croatia_Policies_Table[[#This Row],[Impact Value]]</f>
        <v>2.64</v>
      </c>
      <c r="G3" s="1">
        <f>SUM(Croatia_Policies_Table[[#This Row],[Impact on Country]:[Impact on EU Relations]])</f>
        <v>4</v>
      </c>
      <c r="H3" s="7">
        <v>1</v>
      </c>
      <c r="I3" s="15">
        <v>1</v>
      </c>
      <c r="J3" s="7">
        <v>1</v>
      </c>
      <c r="K3" s="7">
        <v>1</v>
      </c>
      <c r="L3" s="61" cm="1">
        <f t="array" ref="L3">_xlfn.SWITCH(Croatia_Policies_Table[[#This Row],[Impact]], "High", 1, "Medium", 0.66, "Low", 0.33)</f>
        <v>0.66</v>
      </c>
      <c r="M3" s="61" t="s">
        <v>490</v>
      </c>
      <c r="N3" s="61" t="s">
        <v>524</v>
      </c>
      <c r="O3" s="61" t="s">
        <v>397</v>
      </c>
      <c r="P3" s="16" t="s">
        <v>73</v>
      </c>
      <c r="Q3" s="82">
        <v>5</v>
      </c>
    </row>
    <row r="4" spans="1:17" ht="14.4" customHeight="1" x14ac:dyDescent="0.3">
      <c r="A4" s="15">
        <v>10</v>
      </c>
      <c r="B4" s="7" t="s">
        <v>6</v>
      </c>
      <c r="C4" s="8">
        <v>42248</v>
      </c>
      <c r="D4" s="9" t="s">
        <v>77</v>
      </c>
      <c r="E4" s="1" t="s">
        <v>121</v>
      </c>
      <c r="F4" s="1">
        <f>Croatia_Policies_Table[[#This Row],[Rating]]*Croatia_Policies_Table[[#This Row],[Impact Value]]</f>
        <v>1</v>
      </c>
      <c r="G4" s="1">
        <f>SUM(Croatia_Policies_Table[[#This Row],[Impact on Country]:[Impact on EU Relations]])</f>
        <v>1</v>
      </c>
      <c r="H4" s="7">
        <v>1</v>
      </c>
      <c r="I4" s="15">
        <v>0</v>
      </c>
      <c r="J4" s="7">
        <v>0</v>
      </c>
      <c r="K4" s="7">
        <v>0</v>
      </c>
      <c r="L4" s="61" cm="1">
        <f t="array" ref="L4">_xlfn.SWITCH(Croatia_Policies_Table[[#This Row],[Impact]], "High", 1, "Medium", 0.66, "Low", 0.33)</f>
        <v>1</v>
      </c>
      <c r="M4" s="61" t="s">
        <v>489</v>
      </c>
      <c r="N4" s="61" t="s">
        <v>525</v>
      </c>
      <c r="O4" s="61" t="s">
        <v>452</v>
      </c>
      <c r="P4" s="16" t="s">
        <v>75</v>
      </c>
      <c r="Q4" s="82">
        <v>4</v>
      </c>
    </row>
    <row r="5" spans="1:17" ht="14.4" customHeight="1" x14ac:dyDescent="0.3">
      <c r="A5" s="15">
        <v>10</v>
      </c>
      <c r="B5" s="7" t="s">
        <v>6</v>
      </c>
      <c r="C5" s="8">
        <v>42265</v>
      </c>
      <c r="D5" s="9" t="s">
        <v>115</v>
      </c>
      <c r="E5" s="1" t="s">
        <v>120</v>
      </c>
      <c r="F5" s="1">
        <f>Croatia_Policies_Table[[#This Row],[Rating]]*Croatia_Policies_Table[[#This Row],[Impact Value]]</f>
        <v>-3</v>
      </c>
      <c r="G5" s="1">
        <f>SUM(Croatia_Policies_Table[[#This Row],[Impact on Country]:[Impact on EU Relations]])</f>
        <v>-3</v>
      </c>
      <c r="H5" s="7">
        <v>0</v>
      </c>
      <c r="I5" s="15">
        <v>-1</v>
      </c>
      <c r="J5" s="7">
        <v>-1</v>
      </c>
      <c r="K5" s="7">
        <v>-1</v>
      </c>
      <c r="L5" s="61" cm="1">
        <f t="array" ref="L5">_xlfn.SWITCH(Croatia_Policies_Table[[#This Row],[Impact]], "High", 1, "Medium", 0.66, "Low", 0.33)</f>
        <v>1</v>
      </c>
      <c r="M5" s="61" t="s">
        <v>489</v>
      </c>
      <c r="N5" s="61" t="s">
        <v>526</v>
      </c>
      <c r="O5" s="61" t="s">
        <v>388</v>
      </c>
      <c r="P5" s="16" t="s">
        <v>114</v>
      </c>
      <c r="Q5" s="82">
        <v>9</v>
      </c>
    </row>
    <row r="6" spans="1:17" ht="14.4" customHeight="1" x14ac:dyDescent="0.3">
      <c r="A6" s="15">
        <v>10</v>
      </c>
      <c r="B6" s="7" t="s">
        <v>6</v>
      </c>
      <c r="C6" s="8">
        <v>42309</v>
      </c>
      <c r="D6" s="9" t="s">
        <v>80</v>
      </c>
      <c r="E6" s="1" t="s">
        <v>121</v>
      </c>
      <c r="F6" s="1">
        <f>Croatia_Policies_Table[[#This Row],[Rating]]*Croatia_Policies_Table[[#This Row],[Impact Value]]</f>
        <v>2</v>
      </c>
      <c r="G6" s="1">
        <f>SUM(Croatia_Policies_Table[[#This Row],[Impact on Country]:[Impact on EU Relations]])</f>
        <v>2</v>
      </c>
      <c r="H6" s="7">
        <v>1</v>
      </c>
      <c r="I6" s="15">
        <v>0</v>
      </c>
      <c r="J6" s="7">
        <v>1</v>
      </c>
      <c r="K6" s="7">
        <v>0</v>
      </c>
      <c r="L6" s="61" cm="1">
        <f t="array" ref="L6">_xlfn.SWITCH(Croatia_Policies_Table[[#This Row],[Impact]], "High", 1, "Medium", 0.66, "Low", 0.33)</f>
        <v>1</v>
      </c>
      <c r="M6" s="61" t="s">
        <v>489</v>
      </c>
      <c r="N6" s="61" t="s">
        <v>527</v>
      </c>
      <c r="O6" s="61" t="s">
        <v>452</v>
      </c>
      <c r="P6" s="16" t="s">
        <v>75</v>
      </c>
      <c r="Q6" s="82">
        <v>3</v>
      </c>
    </row>
    <row r="7" spans="1:17" ht="14.4" customHeight="1" x14ac:dyDescent="0.3">
      <c r="A7" s="15">
        <v>10</v>
      </c>
      <c r="B7" s="7" t="s">
        <v>6</v>
      </c>
      <c r="C7" s="8">
        <v>42309</v>
      </c>
      <c r="D7" s="9" t="s">
        <v>81</v>
      </c>
      <c r="E7" s="1" t="s">
        <v>121</v>
      </c>
      <c r="F7" s="1">
        <f>Croatia_Policies_Table[[#This Row],[Rating]]*Croatia_Policies_Table[[#This Row],[Impact Value]]</f>
        <v>0.66</v>
      </c>
      <c r="G7" s="1">
        <f>SUM(Croatia_Policies_Table[[#This Row],[Impact on Country]:[Impact on EU Relations]])</f>
        <v>1</v>
      </c>
      <c r="H7" s="7">
        <v>1</v>
      </c>
      <c r="I7" s="15">
        <v>0</v>
      </c>
      <c r="J7" s="7">
        <v>0</v>
      </c>
      <c r="K7" s="7">
        <v>0</v>
      </c>
      <c r="L7" s="61" cm="1">
        <f t="array" ref="L7">_xlfn.SWITCH(Croatia_Policies_Table[[#This Row],[Impact]], "High", 1, "Medium", 0.66, "Low", 0.33)</f>
        <v>0.66</v>
      </c>
      <c r="M7" s="61" t="s">
        <v>490</v>
      </c>
      <c r="N7" s="61" t="s">
        <v>528</v>
      </c>
      <c r="O7" s="61" t="s">
        <v>452</v>
      </c>
      <c r="P7" s="16" t="s">
        <v>75</v>
      </c>
      <c r="Q7" s="82">
        <v>3</v>
      </c>
    </row>
    <row r="8" spans="1:17" ht="14.4" customHeight="1" x14ac:dyDescent="0.3">
      <c r="A8" s="15">
        <v>10</v>
      </c>
      <c r="B8" s="7" t="s">
        <v>6</v>
      </c>
      <c r="C8" s="8">
        <v>42438</v>
      </c>
      <c r="D8" s="9" t="s">
        <v>91</v>
      </c>
      <c r="E8" s="1" t="s">
        <v>120</v>
      </c>
      <c r="F8" s="1">
        <f>Croatia_Policies_Table[[#This Row],[Rating]]*Croatia_Policies_Table[[#This Row],[Impact Value]]</f>
        <v>-1</v>
      </c>
      <c r="G8" s="1">
        <f>SUM(Croatia_Policies_Table[[#This Row],[Impact on Country]:[Impact on EU Relations]])</f>
        <v>-1</v>
      </c>
      <c r="H8" s="7">
        <v>1</v>
      </c>
      <c r="I8" s="15">
        <v>-1</v>
      </c>
      <c r="J8" s="7">
        <v>-1</v>
      </c>
      <c r="K8" s="7">
        <v>0</v>
      </c>
      <c r="L8" s="61" cm="1">
        <f t="array" ref="L8">_xlfn.SWITCH(Croatia_Policies_Table[[#This Row],[Impact]], "High", 1, "Medium", 0.66, "Low", 0.33)</f>
        <v>1</v>
      </c>
      <c r="M8" s="61" t="s">
        <v>489</v>
      </c>
      <c r="N8" s="61" t="s">
        <v>529</v>
      </c>
      <c r="O8" s="61" t="s">
        <v>386</v>
      </c>
      <c r="P8" s="16" t="s">
        <v>82</v>
      </c>
      <c r="Q8" s="82">
        <v>7</v>
      </c>
    </row>
    <row r="9" spans="1:17" ht="14.4" customHeight="1" x14ac:dyDescent="0.3">
      <c r="A9" s="15">
        <v>10</v>
      </c>
      <c r="B9" s="7" t="s">
        <v>6</v>
      </c>
      <c r="C9" s="8">
        <v>42552</v>
      </c>
      <c r="D9" s="9" t="s">
        <v>92</v>
      </c>
      <c r="E9" s="1" t="s">
        <v>122</v>
      </c>
      <c r="F9" s="1">
        <f>Croatia_Policies_Table[[#This Row],[Rating]]*Croatia_Policies_Table[[#This Row],[Impact Value]]</f>
        <v>1.32</v>
      </c>
      <c r="G9" s="1">
        <f>SUM(Croatia_Policies_Table[[#This Row],[Impact on Country]:[Impact on EU Relations]])</f>
        <v>4</v>
      </c>
      <c r="H9" s="7">
        <v>1</v>
      </c>
      <c r="I9" s="15">
        <v>1</v>
      </c>
      <c r="J9" s="7">
        <v>1</v>
      </c>
      <c r="K9" s="7">
        <v>1</v>
      </c>
      <c r="L9" s="61" cm="1">
        <f t="array" ref="L9">_xlfn.SWITCH(Croatia_Policies_Table[[#This Row],[Impact]], "High", 1, "Medium", 0.66, "Low", 0.33)</f>
        <v>0.33</v>
      </c>
      <c r="M9" s="61" t="s">
        <v>491</v>
      </c>
      <c r="N9" s="61" t="s">
        <v>530</v>
      </c>
      <c r="O9" s="61" t="s">
        <v>452</v>
      </c>
      <c r="P9" s="16" t="s">
        <v>79</v>
      </c>
      <c r="Q9" s="82">
        <v>3</v>
      </c>
    </row>
    <row r="10" spans="1:17" ht="14.4" customHeight="1" x14ac:dyDescent="0.3">
      <c r="A10" s="15">
        <v>10</v>
      </c>
      <c r="B10" s="7" t="s">
        <v>6</v>
      </c>
      <c r="C10" s="8">
        <v>43451</v>
      </c>
      <c r="D10" s="28" t="s">
        <v>93</v>
      </c>
      <c r="E10" s="1" t="s">
        <v>120</v>
      </c>
      <c r="F10" s="1">
        <f>Croatia_Policies_Table[[#This Row],[Rating]]*Croatia_Policies_Table[[#This Row],[Impact Value]]</f>
        <v>-4</v>
      </c>
      <c r="G10" s="1">
        <f>SUM(Croatia_Policies_Table[[#This Row],[Impact on Country]:[Impact on EU Relations]])</f>
        <v>-4</v>
      </c>
      <c r="H10" s="7">
        <v>-1</v>
      </c>
      <c r="I10" s="15">
        <v>-1</v>
      </c>
      <c r="J10" s="7">
        <v>-1</v>
      </c>
      <c r="K10" s="7">
        <v>-1</v>
      </c>
      <c r="L10" s="61" cm="1">
        <f t="array" ref="L10">_xlfn.SWITCH(Croatia_Policies_Table[[#This Row],[Impact]], "High", 1, "Medium", 0.66, "Low", 0.33)</f>
        <v>1</v>
      </c>
      <c r="M10" s="61" t="s">
        <v>489</v>
      </c>
      <c r="N10" s="61" t="s">
        <v>531</v>
      </c>
      <c r="O10" s="61" t="s">
        <v>386</v>
      </c>
      <c r="P10" s="16" t="s">
        <v>83</v>
      </c>
      <c r="Q10" s="82">
        <v>4</v>
      </c>
    </row>
    <row r="11" spans="1:17" ht="14.4" customHeight="1" x14ac:dyDescent="0.3">
      <c r="A11" s="15">
        <v>10</v>
      </c>
      <c r="B11" s="7" t="s">
        <v>6</v>
      </c>
      <c r="C11" s="8">
        <v>43595</v>
      </c>
      <c r="D11" s="28" t="s">
        <v>94</v>
      </c>
      <c r="E11" s="1" t="s">
        <v>121</v>
      </c>
      <c r="F11" s="1">
        <f>Croatia_Policies_Table[[#This Row],[Rating]]*Croatia_Policies_Table[[#This Row],[Impact Value]]</f>
        <v>-1.98</v>
      </c>
      <c r="G11" s="1">
        <f>SUM(Croatia_Policies_Table[[#This Row],[Impact on Country]:[Impact on EU Relations]])</f>
        <v>-3</v>
      </c>
      <c r="H11" s="7">
        <v>-1</v>
      </c>
      <c r="I11" s="15">
        <v>0</v>
      </c>
      <c r="J11" s="7">
        <v>-1</v>
      </c>
      <c r="K11" s="7">
        <v>-1</v>
      </c>
      <c r="L11" s="61" cm="1">
        <f t="array" ref="L11">_xlfn.SWITCH(Croatia_Policies_Table[[#This Row],[Impact]], "High", 1, "Medium", 0.66, "Low", 0.33)</f>
        <v>0.66</v>
      </c>
      <c r="M11" s="61" t="s">
        <v>490</v>
      </c>
      <c r="N11" s="61" t="s">
        <v>532</v>
      </c>
      <c r="O11" s="61" t="s">
        <v>397</v>
      </c>
      <c r="P11" s="16" t="s">
        <v>84</v>
      </c>
      <c r="Q11" s="82">
        <v>3</v>
      </c>
    </row>
    <row r="12" spans="1:17" ht="14.4" customHeight="1" x14ac:dyDescent="0.3">
      <c r="A12" s="15">
        <v>10</v>
      </c>
      <c r="B12" s="7" t="s">
        <v>6</v>
      </c>
      <c r="C12" s="8">
        <v>43891</v>
      </c>
      <c r="D12" s="9" t="s">
        <v>96</v>
      </c>
      <c r="E12" s="1" t="s">
        <v>121</v>
      </c>
      <c r="F12" s="1">
        <f>Croatia_Policies_Table[[#This Row],[Rating]]*Croatia_Policies_Table[[#This Row],[Impact Value]]</f>
        <v>-0.66</v>
      </c>
      <c r="G12" s="1">
        <f>SUM(Croatia_Policies_Table[[#This Row],[Impact on Country]:[Impact on EU Relations]])</f>
        <v>-1</v>
      </c>
      <c r="H12" s="7">
        <v>0</v>
      </c>
      <c r="I12" s="15">
        <v>0</v>
      </c>
      <c r="J12" s="7">
        <v>-1</v>
      </c>
      <c r="K12" s="7">
        <v>0</v>
      </c>
      <c r="L12" s="61" cm="1">
        <f t="array" ref="L12">_xlfn.SWITCH(Croatia_Policies_Table[[#This Row],[Impact]], "High", 1, "Medium", 0.66, "Low", 0.33)</f>
        <v>0.66</v>
      </c>
      <c r="M12" s="61" t="s">
        <v>490</v>
      </c>
      <c r="N12" s="61" t="s">
        <v>533</v>
      </c>
      <c r="O12" s="61" t="s">
        <v>392</v>
      </c>
      <c r="P12" s="16" t="s">
        <v>85</v>
      </c>
      <c r="Q12" s="82">
        <v>4</v>
      </c>
    </row>
    <row r="13" spans="1:17" ht="14.4" customHeight="1" x14ac:dyDescent="0.3">
      <c r="A13" s="15">
        <v>10</v>
      </c>
      <c r="B13" s="7" t="s">
        <v>6</v>
      </c>
      <c r="C13" s="8">
        <v>43909</v>
      </c>
      <c r="D13" s="28" t="s">
        <v>95</v>
      </c>
      <c r="E13" s="1" t="s">
        <v>121</v>
      </c>
      <c r="F13" s="1">
        <f>Croatia_Policies_Table[[#This Row],[Rating]]*Croatia_Policies_Table[[#This Row],[Impact Value]]</f>
        <v>-1</v>
      </c>
      <c r="G13" s="1">
        <f>SUM(Croatia_Policies_Table[[#This Row],[Impact on Country]:[Impact on EU Relations]])</f>
        <v>-1</v>
      </c>
      <c r="H13" s="7">
        <v>0</v>
      </c>
      <c r="I13" s="15">
        <v>0</v>
      </c>
      <c r="J13" s="7">
        <v>-1</v>
      </c>
      <c r="K13" s="7">
        <v>0</v>
      </c>
      <c r="L13" s="61" cm="1">
        <f t="array" ref="L13">_xlfn.SWITCH(Croatia_Policies_Table[[#This Row],[Impact]], "High", 1, "Medium", 0.66, "Low", 0.33)</f>
        <v>1</v>
      </c>
      <c r="M13" s="61" t="s">
        <v>489</v>
      </c>
      <c r="N13" s="61" t="s">
        <v>534</v>
      </c>
      <c r="O13" s="61" t="s">
        <v>392</v>
      </c>
      <c r="P13" s="16" t="s">
        <v>85</v>
      </c>
      <c r="Q13" s="82">
        <v>5</v>
      </c>
    </row>
    <row r="14" spans="1:17" ht="14.4" customHeight="1" x14ac:dyDescent="0.3">
      <c r="A14" s="15">
        <v>10</v>
      </c>
      <c r="B14" s="7" t="s">
        <v>6</v>
      </c>
      <c r="C14" s="8">
        <v>44562</v>
      </c>
      <c r="D14" s="9" t="s">
        <v>106</v>
      </c>
      <c r="E14" s="1" t="s">
        <v>121</v>
      </c>
      <c r="F14" s="1">
        <f>Croatia_Policies_Table[[#This Row],[Rating]]*Croatia_Policies_Table[[#This Row],[Impact Value]]</f>
        <v>1.98</v>
      </c>
      <c r="G14" s="1">
        <f>SUM(Croatia_Policies_Table[[#This Row],[Impact on Country]:[Impact on EU Relations]])</f>
        <v>3</v>
      </c>
      <c r="H14" s="7">
        <v>1</v>
      </c>
      <c r="I14" s="15">
        <v>0</v>
      </c>
      <c r="J14" s="7">
        <v>1</v>
      </c>
      <c r="K14" s="7">
        <v>1</v>
      </c>
      <c r="L14" s="61" cm="1">
        <f t="array" ref="L14">_xlfn.SWITCH(Croatia_Policies_Table[[#This Row],[Impact]], "High", 1, "Medium", 0.66, "Low", 0.33)</f>
        <v>0.66</v>
      </c>
      <c r="M14" s="61" t="s">
        <v>490</v>
      </c>
      <c r="N14" s="61" t="s">
        <v>535</v>
      </c>
      <c r="O14" s="61" t="s">
        <v>392</v>
      </c>
      <c r="P14" s="16" t="s">
        <v>107</v>
      </c>
      <c r="Q14" s="82">
        <v>4</v>
      </c>
    </row>
    <row r="15" spans="1:17" ht="14.4" customHeight="1" x14ac:dyDescent="0.3">
      <c r="A15" s="15">
        <v>10</v>
      </c>
      <c r="B15" s="7" t="s">
        <v>6</v>
      </c>
      <c r="C15" s="8">
        <v>44655</v>
      </c>
      <c r="D15" s="9" t="s">
        <v>111</v>
      </c>
      <c r="E15" s="1" t="s">
        <v>123</v>
      </c>
      <c r="F15" s="1">
        <f>Croatia_Policies_Table[[#This Row],[Rating]]*Croatia_Policies_Table[[#This Row],[Impact Value]]</f>
        <v>-1</v>
      </c>
      <c r="G15" s="1">
        <f>SUM(Croatia_Policies_Table[[#This Row],[Impact on Country]:[Impact on EU Relations]])</f>
        <v>-1</v>
      </c>
      <c r="H15" s="7">
        <v>-1</v>
      </c>
      <c r="I15" s="15">
        <v>0</v>
      </c>
      <c r="J15" s="7">
        <v>1</v>
      </c>
      <c r="K15" s="7">
        <v>-1</v>
      </c>
      <c r="L15" s="61" cm="1">
        <f t="array" ref="L15">_xlfn.SWITCH(Croatia_Policies_Table[[#This Row],[Impact]], "High", 1, "Medium", 0.66, "Low", 0.33)</f>
        <v>1</v>
      </c>
      <c r="M15" s="61" t="s">
        <v>489</v>
      </c>
      <c r="N15" s="61" t="s">
        <v>536</v>
      </c>
      <c r="O15" s="61" t="s">
        <v>398</v>
      </c>
      <c r="P15" s="16" t="s">
        <v>110</v>
      </c>
      <c r="Q15" s="82">
        <v>6</v>
      </c>
    </row>
    <row r="16" spans="1:17" ht="14.4" customHeight="1" x14ac:dyDescent="0.3">
      <c r="A16" s="15">
        <v>10</v>
      </c>
      <c r="B16" s="7" t="s">
        <v>6</v>
      </c>
      <c r="C16" s="8">
        <v>44816</v>
      </c>
      <c r="D16" s="9" t="s">
        <v>117</v>
      </c>
      <c r="E16" s="1" t="s">
        <v>123</v>
      </c>
      <c r="F16" s="1">
        <f>Croatia_Policies_Table[[#This Row],[Rating]]*Croatia_Policies_Table[[#This Row],[Impact Value]]</f>
        <v>0</v>
      </c>
      <c r="G16" s="1">
        <f>SUM(Croatia_Policies_Table[[#This Row],[Impact on Country]:[Impact on EU Relations]])</f>
        <v>0</v>
      </c>
      <c r="H16" s="7">
        <v>0</v>
      </c>
      <c r="I16" s="15">
        <v>0</v>
      </c>
      <c r="J16" s="7">
        <v>0</v>
      </c>
      <c r="K16" s="7">
        <v>0</v>
      </c>
      <c r="L16" s="61" cm="1">
        <f t="array" ref="L16">_xlfn.SWITCH(Croatia_Policies_Table[[#This Row],[Impact]], "High", 1, "Medium", 0.66, "Low", 0.33)</f>
        <v>0.66</v>
      </c>
      <c r="M16" s="61" t="s">
        <v>490</v>
      </c>
      <c r="N16" s="61" t="s">
        <v>537</v>
      </c>
      <c r="O16" s="61" t="s">
        <v>399</v>
      </c>
      <c r="P16" s="16" t="s">
        <v>116</v>
      </c>
      <c r="Q16" s="82">
        <v>4</v>
      </c>
    </row>
    <row r="17" spans="1:17" ht="14.4" customHeight="1" x14ac:dyDescent="0.3">
      <c r="A17" s="15">
        <v>10</v>
      </c>
      <c r="B17" s="7" t="s">
        <v>6</v>
      </c>
      <c r="C17" s="8">
        <v>44927</v>
      </c>
      <c r="D17" s="28" t="s">
        <v>97</v>
      </c>
      <c r="E17" s="1" t="s">
        <v>122</v>
      </c>
      <c r="F17" s="1">
        <f>Croatia_Policies_Table[[#This Row],[Rating]]*Croatia_Policies_Table[[#This Row],[Impact Value]]</f>
        <v>3</v>
      </c>
      <c r="G17" s="1">
        <f>SUM(Croatia_Policies_Table[[#This Row],[Impact on Country]:[Impact on EU Relations]])</f>
        <v>3</v>
      </c>
      <c r="H17" s="7">
        <v>1</v>
      </c>
      <c r="I17" s="15">
        <v>1</v>
      </c>
      <c r="J17" s="7">
        <v>0</v>
      </c>
      <c r="K17" s="7">
        <v>1</v>
      </c>
      <c r="L17" s="61" cm="1">
        <f t="array" ref="L17">_xlfn.SWITCH(Croatia_Policies_Table[[#This Row],[Impact]], "High", 1, "Medium", 0.66, "Low", 0.33)</f>
        <v>1</v>
      </c>
      <c r="M17" s="61" t="s">
        <v>489</v>
      </c>
      <c r="N17" s="61" t="s">
        <v>538</v>
      </c>
      <c r="O17" s="61" t="s">
        <v>400</v>
      </c>
      <c r="P17" s="16" t="s">
        <v>86</v>
      </c>
      <c r="Q17" s="82">
        <v>5</v>
      </c>
    </row>
    <row r="18" spans="1:17" ht="14.4" customHeight="1" x14ac:dyDescent="0.3">
      <c r="A18" s="15">
        <v>10</v>
      </c>
      <c r="B18" s="7" t="s">
        <v>6</v>
      </c>
      <c r="C18" s="8">
        <v>44986</v>
      </c>
      <c r="D18" s="9" t="s">
        <v>99</v>
      </c>
      <c r="E18" s="1" t="s">
        <v>122</v>
      </c>
      <c r="F18" s="1">
        <f>Croatia_Policies_Table[[#This Row],[Rating]]*Croatia_Policies_Table[[#This Row],[Impact Value]]</f>
        <v>1.32</v>
      </c>
      <c r="G18" s="1">
        <f>SUM(Croatia_Policies_Table[[#This Row],[Impact on Country]:[Impact on EU Relations]])</f>
        <v>4</v>
      </c>
      <c r="H18" s="7">
        <v>1</v>
      </c>
      <c r="I18" s="15">
        <v>1</v>
      </c>
      <c r="J18" s="7">
        <v>1</v>
      </c>
      <c r="K18" s="7">
        <v>1</v>
      </c>
      <c r="L18" s="61" cm="1">
        <f t="array" ref="L18">_xlfn.SWITCH(Croatia_Policies_Table[[#This Row],[Impact]], "High", 1, "Medium", 0.66, "Low", 0.33)</f>
        <v>0.33</v>
      </c>
      <c r="M18" s="61" t="s">
        <v>491</v>
      </c>
      <c r="N18" s="61" t="s">
        <v>539</v>
      </c>
      <c r="O18" s="61" t="s">
        <v>401</v>
      </c>
      <c r="P18" s="16" t="s">
        <v>88</v>
      </c>
      <c r="Q18" s="82">
        <v>3</v>
      </c>
    </row>
    <row r="19" spans="1:17" ht="14.4" customHeight="1" x14ac:dyDescent="0.3">
      <c r="A19" s="15">
        <v>10</v>
      </c>
      <c r="B19" s="7" t="s">
        <v>6</v>
      </c>
      <c r="C19" s="8">
        <v>45002</v>
      </c>
      <c r="D19" s="28" t="s">
        <v>98</v>
      </c>
      <c r="E19" s="1" t="s">
        <v>123</v>
      </c>
      <c r="F19" s="1">
        <f>Croatia_Policies_Table[[#This Row],[Rating]]*Croatia_Policies_Table[[#This Row],[Impact Value]]</f>
        <v>1.98</v>
      </c>
      <c r="G19" s="1">
        <f>SUM(Croatia_Policies_Table[[#This Row],[Impact on Country]:[Impact on EU Relations]])</f>
        <v>3</v>
      </c>
      <c r="H19" s="7">
        <v>1</v>
      </c>
      <c r="I19" s="15">
        <v>0</v>
      </c>
      <c r="J19" s="7">
        <v>1</v>
      </c>
      <c r="K19" s="7">
        <v>1</v>
      </c>
      <c r="L19" s="61" cm="1">
        <f t="array" ref="L19">_xlfn.SWITCH(Croatia_Policies_Table[[#This Row],[Impact]], "High", 1, "Medium", 0.66, "Low", 0.33)</f>
        <v>0.66</v>
      </c>
      <c r="M19" s="61" t="s">
        <v>490</v>
      </c>
      <c r="N19" s="61" t="s">
        <v>540</v>
      </c>
      <c r="O19" s="61" t="s">
        <v>452</v>
      </c>
      <c r="P19" s="16" t="s">
        <v>87</v>
      </c>
      <c r="Q19" s="82">
        <v>5</v>
      </c>
    </row>
    <row r="20" spans="1:17" ht="14.4" customHeight="1" x14ac:dyDescent="0.3">
      <c r="A20" s="15">
        <v>10</v>
      </c>
      <c r="B20" s="7" t="s">
        <v>6</v>
      </c>
      <c r="C20" s="8">
        <v>45033</v>
      </c>
      <c r="D20" s="9" t="s">
        <v>112</v>
      </c>
      <c r="E20" s="1" t="s">
        <v>123</v>
      </c>
      <c r="F20" s="1">
        <f>Croatia_Policies_Table[[#This Row],[Rating]]*Croatia_Policies_Table[[#This Row],[Impact Value]]</f>
        <v>-3</v>
      </c>
      <c r="G20" s="1">
        <f>SUM(Croatia_Policies_Table[[#This Row],[Impact on Country]:[Impact on EU Relations]])</f>
        <v>-3</v>
      </c>
      <c r="H20" s="7">
        <v>-1</v>
      </c>
      <c r="I20" s="15">
        <v>0</v>
      </c>
      <c r="J20" s="7">
        <v>-1</v>
      </c>
      <c r="K20" s="7">
        <v>-1</v>
      </c>
      <c r="L20" s="61" cm="1">
        <f t="array" ref="L20">_xlfn.SWITCH(Croatia_Policies_Table[[#This Row],[Impact]], "High", 1, "Medium", 0.66, "Low", 0.33)</f>
        <v>1</v>
      </c>
      <c r="M20" s="61" t="s">
        <v>489</v>
      </c>
      <c r="N20" s="61" t="s">
        <v>541</v>
      </c>
      <c r="O20" s="61" t="s">
        <v>398</v>
      </c>
      <c r="P20" s="16" t="s">
        <v>113</v>
      </c>
      <c r="Q20" s="82">
        <v>4</v>
      </c>
    </row>
    <row r="21" spans="1:17" ht="14.4" customHeight="1" x14ac:dyDescent="0.3">
      <c r="A21" s="15">
        <v>10</v>
      </c>
      <c r="B21" s="7" t="s">
        <v>6</v>
      </c>
      <c r="C21" s="8">
        <v>45034</v>
      </c>
      <c r="D21" s="9" t="s">
        <v>108</v>
      </c>
      <c r="E21" s="1" t="s">
        <v>123</v>
      </c>
      <c r="F21" s="1">
        <f>Croatia_Policies_Table[[#This Row],[Rating]]*Croatia_Policies_Table[[#This Row],[Impact Value]]</f>
        <v>0</v>
      </c>
      <c r="G21" s="1">
        <f>SUM(Croatia_Policies_Table[[#This Row],[Impact on Country]:[Impact on EU Relations]])</f>
        <v>0</v>
      </c>
      <c r="H21" s="7">
        <v>0</v>
      </c>
      <c r="I21" s="15">
        <v>0</v>
      </c>
      <c r="J21" s="7">
        <v>0</v>
      </c>
      <c r="K21" s="7">
        <v>0</v>
      </c>
      <c r="L21" s="61" cm="1">
        <f t="array" ref="L21">_xlfn.SWITCH(Croatia_Policies_Table[[#This Row],[Impact]], "High", 1, "Medium", 0.66, "Low", 0.33)</f>
        <v>0.33</v>
      </c>
      <c r="M21" s="61" t="s">
        <v>491</v>
      </c>
      <c r="N21" s="61" t="s">
        <v>542</v>
      </c>
      <c r="O21" s="61" t="s">
        <v>402</v>
      </c>
      <c r="P21" s="16" t="s">
        <v>109</v>
      </c>
      <c r="Q21" s="82">
        <v>3</v>
      </c>
    </row>
    <row r="22" spans="1:17" ht="14.4" customHeight="1" x14ac:dyDescent="0.3">
      <c r="A22" s="15">
        <v>10</v>
      </c>
      <c r="B22" s="7" t="s">
        <v>6</v>
      </c>
      <c r="C22" s="8">
        <v>45049</v>
      </c>
      <c r="D22" s="28" t="s">
        <v>119</v>
      </c>
      <c r="E22" s="1" t="s">
        <v>123</v>
      </c>
      <c r="F22" s="1">
        <f>Croatia_Policies_Table[[#This Row],[Rating]]*Croatia_Policies_Table[[#This Row],[Impact Value]]</f>
        <v>1.98</v>
      </c>
      <c r="G22" s="1">
        <f>SUM(Croatia_Policies_Table[[#This Row],[Impact on Country]:[Impact on EU Relations]])</f>
        <v>3</v>
      </c>
      <c r="H22" s="1">
        <v>1</v>
      </c>
      <c r="I22">
        <v>0</v>
      </c>
      <c r="J22">
        <v>1</v>
      </c>
      <c r="K22">
        <v>1</v>
      </c>
      <c r="L22" s="61" cm="1">
        <f t="array" ref="L22">_xlfn.SWITCH(Croatia_Policies_Table[[#This Row],[Impact]], "High", 1, "Medium", 0.66, "Low", 0.33)</f>
        <v>0.66</v>
      </c>
      <c r="M22" t="s">
        <v>490</v>
      </c>
      <c r="N22" t="s">
        <v>543</v>
      </c>
      <c r="O22" s="61" t="s">
        <v>392</v>
      </c>
      <c r="P22" s="16" t="s">
        <v>118</v>
      </c>
      <c r="Q22" s="82">
        <v>4</v>
      </c>
    </row>
    <row r="23" spans="1:17" ht="14.4" customHeight="1" x14ac:dyDescent="0.3">
      <c r="A23" s="15">
        <v>10</v>
      </c>
      <c r="B23" s="7" t="s">
        <v>6</v>
      </c>
      <c r="C23" s="8">
        <v>45049</v>
      </c>
      <c r="D23" s="9" t="s">
        <v>100</v>
      </c>
      <c r="E23" s="1" t="s">
        <v>120</v>
      </c>
      <c r="F23" s="1">
        <f>Croatia_Policies_Table[[#This Row],[Rating]]*Croatia_Policies_Table[[#This Row],[Impact Value]]</f>
        <v>-4</v>
      </c>
      <c r="G23" s="1">
        <f>SUM(Croatia_Policies_Table[[#This Row],[Impact on Country]:[Impact on EU Relations]])</f>
        <v>-4</v>
      </c>
      <c r="H23" s="7">
        <v>-1</v>
      </c>
      <c r="I23" s="15">
        <v>-1</v>
      </c>
      <c r="J23" s="7">
        <v>-1</v>
      </c>
      <c r="K23" s="7">
        <v>-1</v>
      </c>
      <c r="L23" s="61" cm="1">
        <f t="array" ref="L23">_xlfn.SWITCH(Croatia_Policies_Table[[#This Row],[Impact]], "High", 1, "Medium", 0.66, "Low", 0.33)</f>
        <v>1</v>
      </c>
      <c r="M23" s="61" t="s">
        <v>489</v>
      </c>
      <c r="N23" s="61" t="s">
        <v>544</v>
      </c>
      <c r="O23" s="61" t="s">
        <v>403</v>
      </c>
      <c r="P23" s="16" t="s">
        <v>89</v>
      </c>
      <c r="Q23" s="82">
        <v>4</v>
      </c>
    </row>
    <row r="24" spans="1:17" ht="14.4" customHeight="1" x14ac:dyDescent="0.3">
      <c r="A24" s="15">
        <v>10</v>
      </c>
      <c r="B24" s="7" t="s">
        <v>6</v>
      </c>
      <c r="C24" s="8">
        <v>45069</v>
      </c>
      <c r="D24" s="28" t="s">
        <v>101</v>
      </c>
      <c r="E24" s="1" t="s">
        <v>122</v>
      </c>
      <c r="F24" s="1">
        <f>Croatia_Policies_Table[[#This Row],[Rating]]*Croatia_Policies_Table[[#This Row],[Impact Value]]</f>
        <v>-2</v>
      </c>
      <c r="G24" s="1">
        <f>SUM(Croatia_Policies_Table[[#This Row],[Impact on Country]:[Impact on EU Relations]])</f>
        <v>-2</v>
      </c>
      <c r="H24" s="7">
        <v>0</v>
      </c>
      <c r="I24" s="15">
        <v>-1</v>
      </c>
      <c r="J24" s="7">
        <v>-1</v>
      </c>
      <c r="K24" s="7">
        <v>0</v>
      </c>
      <c r="L24" s="61" cm="1">
        <f t="array" ref="L24">_xlfn.SWITCH(Croatia_Policies_Table[[#This Row],[Impact]], "High", 1, "Medium", 0.66, "Low", 0.33)</f>
        <v>1</v>
      </c>
      <c r="M24" s="61" t="s">
        <v>489</v>
      </c>
      <c r="N24" s="61" t="s">
        <v>545</v>
      </c>
      <c r="O24" s="61" t="s">
        <v>397</v>
      </c>
      <c r="P24" s="16" t="s">
        <v>90</v>
      </c>
      <c r="Q24" s="82">
        <v>3</v>
      </c>
    </row>
    <row r="25" spans="1:17" ht="14.4" customHeight="1" x14ac:dyDescent="0.3">
      <c r="A25" s="15">
        <v>10</v>
      </c>
      <c r="B25" s="7" t="s">
        <v>6</v>
      </c>
      <c r="C25" s="8">
        <v>45094</v>
      </c>
      <c r="D25" s="28" t="s">
        <v>125</v>
      </c>
      <c r="E25" s="1" t="s">
        <v>122</v>
      </c>
      <c r="F25" s="1">
        <f>Croatia_Policies_Table[[#This Row],[Rating]]*Croatia_Policies_Table[[#This Row],[Impact Value]]</f>
        <v>0.66</v>
      </c>
      <c r="G25" s="1">
        <f>SUM(Croatia_Policies_Table[[#This Row],[Impact on Country]:[Impact on EU Relations]])</f>
        <v>1</v>
      </c>
      <c r="H25" s="7">
        <v>1</v>
      </c>
      <c r="I25" s="15">
        <v>0</v>
      </c>
      <c r="J25" s="7">
        <v>-1</v>
      </c>
      <c r="K25" s="7">
        <v>1</v>
      </c>
      <c r="L25" s="61" cm="1">
        <f t="array" ref="L25">_xlfn.SWITCH(Croatia_Policies_Table[[#This Row],[Impact]], "High", 1, "Medium", 0.66, "Low", 0.33)</f>
        <v>0.66</v>
      </c>
      <c r="M25" s="61" t="s">
        <v>490</v>
      </c>
      <c r="N25" s="61" t="s">
        <v>546</v>
      </c>
      <c r="O25" s="61" t="s">
        <v>401</v>
      </c>
      <c r="P25" s="16" t="s">
        <v>124</v>
      </c>
      <c r="Q25" s="82">
        <v>4</v>
      </c>
    </row>
    <row r="26" spans="1:17" ht="14.4" customHeight="1" x14ac:dyDescent="0.3">
      <c r="A26" s="15">
        <v>10</v>
      </c>
      <c r="B26" s="7" t="s">
        <v>6</v>
      </c>
      <c r="C26" s="2">
        <v>45536</v>
      </c>
      <c r="D26" s="28" t="s">
        <v>102</v>
      </c>
      <c r="E26" s="1" t="s">
        <v>121</v>
      </c>
      <c r="F26" s="1">
        <f>Croatia_Policies_Table[[#This Row],[Rating]]*Croatia_Policies_Table[[#This Row],[Impact Value]]</f>
        <v>1.98</v>
      </c>
      <c r="G26" s="1">
        <f>SUM(Croatia_Policies_Table[[#This Row],[Impact on Country]:[Impact on EU Relations]])</f>
        <v>3</v>
      </c>
      <c r="H26" s="7">
        <v>1</v>
      </c>
      <c r="I26" s="15">
        <v>0</v>
      </c>
      <c r="J26" s="7">
        <v>1</v>
      </c>
      <c r="K26" s="7">
        <v>1</v>
      </c>
      <c r="L26" s="61" cm="1">
        <f t="array" ref="L26">_xlfn.SWITCH(Croatia_Policies_Table[[#This Row],[Impact]], "High", 1, "Medium", 0.66, "Low", 0.33)</f>
        <v>0.66</v>
      </c>
      <c r="M26" s="61" t="s">
        <v>490</v>
      </c>
      <c r="N26" s="61" t="s">
        <v>547</v>
      </c>
      <c r="O26" s="61" t="s">
        <v>397</v>
      </c>
      <c r="P26" s="17" t="s">
        <v>103</v>
      </c>
      <c r="Q26" s="82">
        <v>3</v>
      </c>
    </row>
    <row r="27" spans="1:17" ht="14.4" customHeight="1" x14ac:dyDescent="0.3">
      <c r="A27" s="21">
        <v>10</v>
      </c>
      <c r="B27" s="22" t="s">
        <v>6</v>
      </c>
      <c r="C27" s="23">
        <v>45575</v>
      </c>
      <c r="D27" s="24" t="s">
        <v>104</v>
      </c>
      <c r="E27" s="1" t="s">
        <v>120</v>
      </c>
      <c r="F27" s="1">
        <f>Croatia_Policies_Table[[#This Row],[Rating]]*Croatia_Policies_Table[[#This Row],[Impact Value]]</f>
        <v>-4</v>
      </c>
      <c r="G27" s="1">
        <f>SUM(Croatia_Policies_Table[[#This Row],[Impact on Country]:[Impact on EU Relations]])</f>
        <v>-4</v>
      </c>
      <c r="H27" s="7">
        <v>-1</v>
      </c>
      <c r="I27" s="21">
        <v>-1</v>
      </c>
      <c r="J27" s="22">
        <v>-1</v>
      </c>
      <c r="K27" s="22">
        <v>-1</v>
      </c>
      <c r="L27" s="61" cm="1">
        <f t="array" ref="L27">_xlfn.SWITCH(Croatia_Policies_Table[[#This Row],[Impact]], "High", 1, "Medium", 0.66, "Low", 0.33)</f>
        <v>1</v>
      </c>
      <c r="M27" s="74" t="s">
        <v>489</v>
      </c>
      <c r="N27" s="74" t="s">
        <v>548</v>
      </c>
      <c r="O27" s="61" t="s">
        <v>386</v>
      </c>
      <c r="P27" s="25" t="s">
        <v>105</v>
      </c>
      <c r="Q27" s="82">
        <v>4</v>
      </c>
    </row>
    <row r="28" spans="1:17" ht="14.4" customHeight="1" x14ac:dyDescent="0.3">
      <c r="A28" s="21">
        <v>10</v>
      </c>
      <c r="B28" s="22" t="s">
        <v>6</v>
      </c>
      <c r="C28" s="23">
        <v>45992</v>
      </c>
      <c r="D28" s="22" t="s">
        <v>78</v>
      </c>
      <c r="E28" s="7" t="s">
        <v>122</v>
      </c>
      <c r="F28" s="1">
        <f>Croatia_Policies_Table[[#This Row],[Rating]]*Croatia_Policies_Table[[#This Row],[Impact Value]]</f>
        <v>0.99</v>
      </c>
      <c r="G28" s="1">
        <f>SUM(Croatia_Policies_Table[[#This Row],[Impact on Country]:[Impact on EU Relations]])</f>
        <v>3</v>
      </c>
      <c r="H28" s="7">
        <v>1</v>
      </c>
      <c r="I28" s="21">
        <v>1</v>
      </c>
      <c r="J28" s="22">
        <v>0</v>
      </c>
      <c r="K28" s="22">
        <v>1</v>
      </c>
      <c r="L28" s="61" cm="1">
        <f t="array" ref="L28">_xlfn.SWITCH(Croatia_Policies_Table[[#This Row],[Impact]], "High", 1, "Medium", 0.66, "Low", 0.33)</f>
        <v>0.33</v>
      </c>
      <c r="M28" s="74" t="s">
        <v>491</v>
      </c>
      <c r="N28" s="74" t="s">
        <v>549</v>
      </c>
      <c r="O28" s="61" t="s">
        <v>452</v>
      </c>
      <c r="P28" s="25" t="s">
        <v>75</v>
      </c>
      <c r="Q28" s="82">
        <v>3</v>
      </c>
    </row>
    <row r="29" spans="1:17" ht="14.4" customHeight="1" x14ac:dyDescent="0.3"/>
    <row r="30" spans="1:17" ht="14.4" customHeight="1" x14ac:dyDescent="0.3"/>
    <row r="31" spans="1:17" ht="14.4" customHeight="1" x14ac:dyDescent="0.3"/>
    <row r="32" spans="1:17" ht="14.4" customHeight="1" x14ac:dyDescent="0.3"/>
    <row r="33" ht="14.4" customHeight="1" x14ac:dyDescent="0.3"/>
    <row r="34" ht="14.4" customHeight="1" x14ac:dyDescent="0.3"/>
    <row r="35" ht="14.4" customHeight="1" x14ac:dyDescent="0.3"/>
  </sheetData>
  <phoneticPr fontId="9" type="noConversion"/>
  <hyperlinks>
    <hyperlink ref="P3" r:id="rId1" xr:uid="{F99DFAB5-DD5F-4AB7-BA93-4BB60B3942F8}"/>
    <hyperlink ref="P2" r:id="rId2" xr:uid="{E22082AA-A7D1-4D0E-9442-DC2AA4C0007E}"/>
    <hyperlink ref="P4" r:id="rId3" xr:uid="{ABEC8741-8E77-48E2-81A6-9DC6AF9FDFCD}"/>
    <hyperlink ref="P6" r:id="rId4" xr:uid="{A365C379-8F10-460B-A5C5-83D0C456C252}"/>
    <hyperlink ref="P7" r:id="rId5" xr:uid="{8544323C-9E67-4FD2-BEEE-EA5E0502E34C}"/>
    <hyperlink ref="P28" r:id="rId6" xr:uid="{CB1F31F4-B75D-455E-BCA3-704068FB6E32}"/>
    <hyperlink ref="P8" r:id="rId7" xr:uid="{C1FE5807-24EA-4086-AC5C-5C5320DCBF32}"/>
    <hyperlink ref="P9" r:id="rId8" xr:uid="{2ED4597C-1A17-4415-A831-3CF59E70297A}"/>
    <hyperlink ref="P10" r:id="rId9" xr:uid="{5F426B3A-D897-4F69-8636-AA0711B06A3C}"/>
    <hyperlink ref="P11" r:id="rId10" xr:uid="{F406499F-4790-47AE-B629-C50C52240D45}"/>
    <hyperlink ref="P13" r:id="rId11" xr:uid="{F95C60BC-23AF-485C-B5C2-40BC93FBB5B8}"/>
    <hyperlink ref="P12" r:id="rId12" xr:uid="{BCC1A173-18E6-487A-955F-D0271AB6F306}"/>
    <hyperlink ref="P17" r:id="rId13" xr:uid="{A2CFF400-2C5D-47C6-9748-8FCBADF34463}"/>
    <hyperlink ref="P19" r:id="rId14" xr:uid="{BFE6CCA5-2825-4BAB-9754-10A2098D16F2}"/>
    <hyperlink ref="P18" r:id="rId15" xr:uid="{58054B81-1FD9-44A4-BB79-B9BB9A55B7A2}"/>
    <hyperlink ref="P23" r:id="rId16" xr:uid="{E3F4AA3C-D196-4298-A575-61D5BCD887EB}"/>
    <hyperlink ref="P24" r:id="rId17" xr:uid="{2C0C044E-DBA8-4316-A714-1083E7BB25CF}"/>
    <hyperlink ref="P26" r:id="rId18" xr:uid="{AE23C562-6AA8-4DDD-88B3-F30D449BD4DC}"/>
    <hyperlink ref="P27" r:id="rId19" xr:uid="{3F8B0D34-4061-4302-9B57-499544E402B0}"/>
    <hyperlink ref="P14" r:id="rId20" xr:uid="{1D4EA1EB-2F73-484B-8D3C-65FE6E49E809}"/>
    <hyperlink ref="P21" r:id="rId21" xr:uid="{6EA7D9AA-1DB9-4110-A7E0-AA6621D07BE6}"/>
    <hyperlink ref="P15" r:id="rId22" location="{%22itemid%22:[%22001-213213%22]}" xr:uid="{453AE456-2EBE-478B-953A-1F456500C9C6}"/>
    <hyperlink ref="P20" r:id="rId23" location="{%22itemid%22:[%22001-222311%22]}" xr:uid="{6548F55E-F937-4858-A328-3CA89C4BE30F}"/>
    <hyperlink ref="P5" r:id="rId24" xr:uid="{08034789-0210-483B-9FE7-DE33658D0034}"/>
    <hyperlink ref="P16" r:id="rId25" xr:uid="{77C66469-6D30-4FBB-957D-734A389117DF}"/>
    <hyperlink ref="P22" r:id="rId26" xr:uid="{EA066125-A6AD-4AC4-A9FA-B6BE9D4482B4}"/>
    <hyperlink ref="P25" r:id="rId27" xr:uid="{053E9A60-4453-4FDD-B077-4EC44F196829}"/>
  </hyperlinks>
  <pageMargins left="0.7" right="0.7" top="0.75" bottom="0.75" header="0.3" footer="0.3"/>
  <tableParts count="1">
    <tablePart r:id="rId2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E38D7-686D-49CD-89E5-38D9C8F90721}">
  <dimension ref="A1:C24"/>
  <sheetViews>
    <sheetView workbookViewId="0"/>
  </sheetViews>
  <sheetFormatPr defaultRowHeight="14.4" x14ac:dyDescent="0.3"/>
  <cols>
    <col min="1" max="1" width="10.77734375" bestFit="1" customWidth="1"/>
    <col min="2" max="2" width="15.44140625" bestFit="1" customWidth="1"/>
    <col min="3" max="3" width="13.77734375" bestFit="1" customWidth="1"/>
  </cols>
  <sheetData>
    <row r="1" spans="1:3" x14ac:dyDescent="0.3">
      <c r="A1" t="s">
        <v>243</v>
      </c>
      <c r="B1" t="s">
        <v>645</v>
      </c>
      <c r="C1" t="s">
        <v>644</v>
      </c>
    </row>
    <row r="2" spans="1:3" x14ac:dyDescent="0.3">
      <c r="A2">
        <v>2015</v>
      </c>
      <c r="B2">
        <v>6.3000000000000007</v>
      </c>
      <c r="C2">
        <v>8</v>
      </c>
    </row>
    <row r="3" spans="1:3" x14ac:dyDescent="0.3">
      <c r="A3">
        <v>2016</v>
      </c>
      <c r="B3">
        <v>0.32000000000000006</v>
      </c>
      <c r="C3">
        <f>C2+Croatia_Rating[[#This Row],[Rating Change]]</f>
        <v>8.32</v>
      </c>
    </row>
    <row r="4" spans="1:3" x14ac:dyDescent="0.3">
      <c r="A4">
        <v>2017</v>
      </c>
      <c r="B4">
        <v>0</v>
      </c>
      <c r="C4">
        <f>C3+Croatia_Rating[[#This Row],[Rating Change]]</f>
        <v>8.32</v>
      </c>
    </row>
    <row r="5" spans="1:3" x14ac:dyDescent="0.3">
      <c r="A5">
        <v>2018</v>
      </c>
      <c r="B5">
        <v>-4</v>
      </c>
      <c r="C5">
        <f>C4+Croatia_Rating[[#This Row],[Rating Change]]</f>
        <v>4.32</v>
      </c>
    </row>
    <row r="6" spans="1:3" x14ac:dyDescent="0.3">
      <c r="A6">
        <v>2019</v>
      </c>
      <c r="B6">
        <v>-1.98</v>
      </c>
      <c r="C6">
        <f>C5+Croatia_Rating[[#This Row],[Rating Change]]</f>
        <v>2.3400000000000003</v>
      </c>
    </row>
    <row r="7" spans="1:3" x14ac:dyDescent="0.3">
      <c r="A7">
        <v>2020</v>
      </c>
      <c r="B7">
        <v>-1.6600000000000001</v>
      </c>
      <c r="C7">
        <f>C6+Croatia_Rating[[#This Row],[Rating Change]]</f>
        <v>0.68000000000000016</v>
      </c>
    </row>
    <row r="8" spans="1:3" x14ac:dyDescent="0.3">
      <c r="A8">
        <v>2021</v>
      </c>
      <c r="B8">
        <v>0</v>
      </c>
      <c r="C8">
        <f>C7+Croatia_Rating[[#This Row],[Rating Change]]</f>
        <v>0.68000000000000016</v>
      </c>
    </row>
    <row r="9" spans="1:3" x14ac:dyDescent="0.3">
      <c r="A9">
        <v>2022</v>
      </c>
      <c r="B9">
        <v>0.98</v>
      </c>
      <c r="C9">
        <f>C8+Croatia_Rating[[#This Row],[Rating Change]]</f>
        <v>1.6600000000000001</v>
      </c>
    </row>
    <row r="10" spans="1:3" x14ac:dyDescent="0.3">
      <c r="A10">
        <v>2023</v>
      </c>
      <c r="B10">
        <v>-5.9999999999998832E-2</v>
      </c>
      <c r="C10">
        <f>C9+Croatia_Rating[[#This Row],[Rating Change]]</f>
        <v>1.6000000000000014</v>
      </c>
    </row>
    <row r="11" spans="1:3" x14ac:dyDescent="0.3">
      <c r="A11">
        <v>2024</v>
      </c>
      <c r="B11">
        <v>-2.02</v>
      </c>
      <c r="C11">
        <f>C10+Croatia_Rating[[#This Row],[Rating Change]]</f>
        <v>-0.4199999999999986</v>
      </c>
    </row>
    <row r="12" spans="1:3" x14ac:dyDescent="0.3">
      <c r="A12">
        <v>2025</v>
      </c>
      <c r="B12">
        <v>0.99</v>
      </c>
      <c r="C12">
        <f>C11+Croatia_Rating[[#This Row],[Rating Change]]</f>
        <v>0.57000000000000139</v>
      </c>
    </row>
    <row r="14" spans="1:3" x14ac:dyDescent="0.3">
      <c r="A14" s="55" t="s">
        <v>243</v>
      </c>
      <c r="B14" t="s">
        <v>643</v>
      </c>
    </row>
    <row r="15" spans="1:3" x14ac:dyDescent="0.3">
      <c r="A15" s="56" t="s">
        <v>310</v>
      </c>
      <c r="B15">
        <v>6.3000000000000007</v>
      </c>
    </row>
    <row r="16" spans="1:3" x14ac:dyDescent="0.3">
      <c r="A16" s="56" t="s">
        <v>311</v>
      </c>
      <c r="B16">
        <v>0.32000000000000006</v>
      </c>
    </row>
    <row r="17" spans="1:2" x14ac:dyDescent="0.3">
      <c r="A17" s="56" t="s">
        <v>313</v>
      </c>
      <c r="B17">
        <v>-4</v>
      </c>
    </row>
    <row r="18" spans="1:2" x14ac:dyDescent="0.3">
      <c r="A18" s="56" t="s">
        <v>314</v>
      </c>
      <c r="B18">
        <v>-1.98</v>
      </c>
    </row>
    <row r="19" spans="1:2" x14ac:dyDescent="0.3">
      <c r="A19" s="56" t="s">
        <v>315</v>
      </c>
      <c r="B19">
        <v>-1.6600000000000001</v>
      </c>
    </row>
    <row r="20" spans="1:2" x14ac:dyDescent="0.3">
      <c r="A20" s="56" t="s">
        <v>317</v>
      </c>
      <c r="B20">
        <v>0.98</v>
      </c>
    </row>
    <row r="21" spans="1:2" x14ac:dyDescent="0.3">
      <c r="A21" s="56" t="s">
        <v>318</v>
      </c>
      <c r="B21">
        <v>-5.9999999999998832E-2</v>
      </c>
    </row>
    <row r="22" spans="1:2" x14ac:dyDescent="0.3">
      <c r="A22" s="56" t="s">
        <v>319</v>
      </c>
      <c r="B22">
        <v>-2.02</v>
      </c>
    </row>
    <row r="23" spans="1:2" x14ac:dyDescent="0.3">
      <c r="A23" s="56" t="s">
        <v>320</v>
      </c>
      <c r="B23">
        <v>0.99</v>
      </c>
    </row>
    <row r="24" spans="1:2" x14ac:dyDescent="0.3">
      <c r="A24" s="56" t="s">
        <v>309</v>
      </c>
      <c r="B24">
        <v>-1.1299999999999979</v>
      </c>
    </row>
  </sheetData>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7365E-2CFA-40B6-ABF5-44C0F7FCA84F}">
  <dimension ref="A1:Q59"/>
  <sheetViews>
    <sheetView workbookViewId="0"/>
  </sheetViews>
  <sheetFormatPr defaultRowHeight="14.4" x14ac:dyDescent="0.3"/>
  <cols>
    <col min="1" max="1" width="11.88671875" customWidth="1"/>
    <col min="2" max="2" width="20.5546875" bestFit="1" customWidth="1"/>
    <col min="3" max="3" width="10.109375" bestFit="1" customWidth="1"/>
    <col min="4" max="4" width="99.77734375" bestFit="1" customWidth="1"/>
    <col min="5" max="5" width="22.5546875" bestFit="1" customWidth="1"/>
    <col min="6" max="6" width="17.88671875" bestFit="1" customWidth="1"/>
    <col min="7" max="7" width="8.5546875" bestFit="1" customWidth="1"/>
    <col min="8" max="8" width="28.6640625" customWidth="1"/>
    <col min="9" max="9" width="23.109375" customWidth="1"/>
    <col min="10" max="11" width="22.88671875" bestFit="1" customWidth="1"/>
    <col min="12" max="12" width="14.33203125" bestFit="1" customWidth="1"/>
    <col min="13" max="13" width="9.109375" bestFit="1" customWidth="1"/>
    <col min="14" max="14" width="50.77734375" customWidth="1"/>
    <col min="15" max="15" width="42.21875" bestFit="1" customWidth="1"/>
    <col min="16" max="16" width="177.77734375" bestFit="1" customWidth="1"/>
    <col min="17" max="17" width="22.88671875" bestFit="1" customWidth="1"/>
  </cols>
  <sheetData>
    <row r="1" spans="1:17" ht="14.4" customHeight="1" x14ac:dyDescent="0.3">
      <c r="A1" s="41" t="s">
        <v>10</v>
      </c>
      <c r="B1" s="42" t="s">
        <v>9</v>
      </c>
      <c r="C1" s="42" t="s">
        <v>72</v>
      </c>
      <c r="D1" s="42" t="s">
        <v>64</v>
      </c>
      <c r="E1" s="42" t="s">
        <v>71</v>
      </c>
      <c r="F1" s="42" t="s">
        <v>572</v>
      </c>
      <c r="G1" s="42" t="s">
        <v>239</v>
      </c>
      <c r="H1" s="42" t="s">
        <v>244</v>
      </c>
      <c r="I1" s="42" t="s">
        <v>240</v>
      </c>
      <c r="J1" s="42" t="s">
        <v>241</v>
      </c>
      <c r="K1" s="43" t="s">
        <v>242</v>
      </c>
      <c r="L1" s="43" t="s">
        <v>571</v>
      </c>
      <c r="M1" s="43" t="s">
        <v>487</v>
      </c>
      <c r="N1" s="43" t="s">
        <v>488</v>
      </c>
      <c r="O1" s="43" t="s">
        <v>384</v>
      </c>
      <c r="P1" s="43" t="s">
        <v>641</v>
      </c>
      <c r="Q1" s="42" t="s">
        <v>642</v>
      </c>
    </row>
    <row r="2" spans="1:17" ht="14.4" customHeight="1" x14ac:dyDescent="0.3">
      <c r="A2" s="38">
        <v>12</v>
      </c>
      <c r="B2" s="39" t="s">
        <v>127</v>
      </c>
      <c r="C2" s="40">
        <v>42156</v>
      </c>
      <c r="D2" s="39" t="s">
        <v>163</v>
      </c>
      <c r="E2" s="45" t="s">
        <v>122</v>
      </c>
      <c r="F2" s="45">
        <f>Bosnia_Policies_Table[[#This Row],[Rating]]*Bosnia_Policies_Table[[#This Row],[Impact Value]]</f>
        <v>1.32</v>
      </c>
      <c r="G2" s="45">
        <f>SUM(Bosnia_Policies_Table[[#This Row],[Impact on Country]:[Impact on EU Relations]])</f>
        <v>2</v>
      </c>
      <c r="H2" s="39">
        <v>1</v>
      </c>
      <c r="I2" s="39">
        <v>0</v>
      </c>
      <c r="J2" s="39">
        <v>0</v>
      </c>
      <c r="K2" s="39">
        <v>1</v>
      </c>
      <c r="L2" s="62" cm="1">
        <f t="array" ref="L2">_xlfn.SWITCH(Bosnia_Policies_Table[[#This Row],[Impact]], "High", 1, "Medium", 0.66, "Low", 0.33)</f>
        <v>0.66</v>
      </c>
      <c r="M2" s="62" t="s">
        <v>490</v>
      </c>
      <c r="N2" s="62" t="s">
        <v>550</v>
      </c>
      <c r="O2" s="62" t="s">
        <v>412</v>
      </c>
      <c r="P2" s="17" t="s">
        <v>164</v>
      </c>
      <c r="Q2" s="83">
        <v>5</v>
      </c>
    </row>
    <row r="3" spans="1:17" ht="14.4" customHeight="1" x14ac:dyDescent="0.3">
      <c r="A3" s="35">
        <v>12</v>
      </c>
      <c r="B3" s="36" t="s">
        <v>127</v>
      </c>
      <c r="C3" s="37">
        <v>42318</v>
      </c>
      <c r="D3" s="36" t="s">
        <v>128</v>
      </c>
      <c r="E3" s="46" t="s">
        <v>123</v>
      </c>
      <c r="F3" s="45">
        <f>Bosnia_Policies_Table[[#This Row],[Rating]]*Bosnia_Policies_Table[[#This Row],[Impact Value]]</f>
        <v>1.32</v>
      </c>
      <c r="G3" s="45">
        <f>SUM(Bosnia_Policies_Table[[#This Row],[Impact on Country]:[Impact on EU Relations]])</f>
        <v>2</v>
      </c>
      <c r="H3" s="39">
        <v>1</v>
      </c>
      <c r="I3" s="39">
        <v>0</v>
      </c>
      <c r="J3" s="39">
        <v>0</v>
      </c>
      <c r="K3" s="39">
        <v>1</v>
      </c>
      <c r="L3" s="62" cm="1">
        <f t="array" ref="L3">_xlfn.SWITCH(Bosnia_Policies_Table[[#This Row],[Impact]], "High", 1, "Medium", 0.66, "Low", 0.33)</f>
        <v>0.66</v>
      </c>
      <c r="M3" s="62" t="s">
        <v>490</v>
      </c>
      <c r="N3" s="62" t="s">
        <v>551</v>
      </c>
      <c r="O3" s="62" t="s">
        <v>406</v>
      </c>
      <c r="P3" s="44" t="s">
        <v>129</v>
      </c>
      <c r="Q3" s="62">
        <v>4</v>
      </c>
    </row>
    <row r="4" spans="1:17" ht="14.4" customHeight="1" x14ac:dyDescent="0.3">
      <c r="A4" s="38">
        <v>12</v>
      </c>
      <c r="B4" s="39" t="s">
        <v>127</v>
      </c>
      <c r="C4" s="40">
        <v>42419</v>
      </c>
      <c r="D4" s="39" t="s">
        <v>133</v>
      </c>
      <c r="E4" s="46" t="s">
        <v>123</v>
      </c>
      <c r="F4" s="45">
        <f>Bosnia_Policies_Table[[#This Row],[Rating]]*Bosnia_Policies_Table[[#This Row],[Impact Value]]</f>
        <v>3</v>
      </c>
      <c r="G4" s="45">
        <f>SUM(Bosnia_Policies_Table[[#This Row],[Impact on Country]:[Impact on EU Relations]])</f>
        <v>3</v>
      </c>
      <c r="H4" s="39">
        <v>1</v>
      </c>
      <c r="I4" s="39">
        <v>0</v>
      </c>
      <c r="J4" s="39">
        <v>1</v>
      </c>
      <c r="K4" s="39">
        <v>1</v>
      </c>
      <c r="L4" s="62" cm="1">
        <f t="array" ref="L4">_xlfn.SWITCH(Bosnia_Policies_Table[[#This Row],[Impact]], "High", 1, "Medium", 0.66, "Low", 0.33)</f>
        <v>1</v>
      </c>
      <c r="M4" s="62" t="s">
        <v>489</v>
      </c>
      <c r="N4" s="62" t="s">
        <v>552</v>
      </c>
      <c r="O4" s="62" t="s">
        <v>408</v>
      </c>
      <c r="P4" s="17" t="s">
        <v>132</v>
      </c>
      <c r="Q4" s="62">
        <v>4</v>
      </c>
    </row>
    <row r="5" spans="1:17" ht="14.4" customHeight="1" x14ac:dyDescent="0.3">
      <c r="A5" s="38">
        <v>12</v>
      </c>
      <c r="B5" s="39" t="s">
        <v>127</v>
      </c>
      <c r="C5" s="40">
        <v>42437</v>
      </c>
      <c r="D5" s="39" t="s">
        <v>155</v>
      </c>
      <c r="E5" s="46" t="s">
        <v>120</v>
      </c>
      <c r="F5" s="45">
        <f>Bosnia_Policies_Table[[#This Row],[Rating]]*Bosnia_Policies_Table[[#This Row],[Impact Value]]</f>
        <v>-2</v>
      </c>
      <c r="G5" s="45">
        <f>SUM(Bosnia_Policies_Table[[#This Row],[Impact on Country]:[Impact on EU Relations]])</f>
        <v>-2</v>
      </c>
      <c r="H5" s="39">
        <v>-1</v>
      </c>
      <c r="I5" s="39">
        <v>0</v>
      </c>
      <c r="J5" s="39">
        <v>-1</v>
      </c>
      <c r="K5" s="39">
        <v>0</v>
      </c>
      <c r="L5" s="62" cm="1">
        <f t="array" ref="L5">_xlfn.SWITCH(Bosnia_Policies_Table[[#This Row],[Impact]], "High", 1, "Medium", 0.66, "Low", 0.33)</f>
        <v>1</v>
      </c>
      <c r="M5" s="62" t="s">
        <v>489</v>
      </c>
      <c r="N5" s="62" t="s">
        <v>553</v>
      </c>
      <c r="O5" s="62" t="s">
        <v>407</v>
      </c>
      <c r="P5" s="17" t="s">
        <v>154</v>
      </c>
      <c r="Q5" s="62">
        <v>5</v>
      </c>
    </row>
    <row r="6" spans="1:17" ht="14.4" customHeight="1" x14ac:dyDescent="0.3">
      <c r="A6" s="38">
        <v>12</v>
      </c>
      <c r="B6" s="39" t="s">
        <v>127</v>
      </c>
      <c r="C6" s="40">
        <v>42459</v>
      </c>
      <c r="D6" s="39" t="s">
        <v>162</v>
      </c>
      <c r="E6" s="46" t="s">
        <v>123</v>
      </c>
      <c r="F6" s="45">
        <f>Bosnia_Policies_Table[[#This Row],[Rating]]*Bosnia_Policies_Table[[#This Row],[Impact Value]]</f>
        <v>0.66</v>
      </c>
      <c r="G6" s="45">
        <f>SUM(Bosnia_Policies_Table[[#This Row],[Impact on Country]:[Impact on EU Relations]])</f>
        <v>2</v>
      </c>
      <c r="H6" s="39">
        <v>1</v>
      </c>
      <c r="I6" s="39">
        <v>0</v>
      </c>
      <c r="J6" s="39">
        <v>0</v>
      </c>
      <c r="K6" s="39">
        <v>1</v>
      </c>
      <c r="L6" s="62" cm="1">
        <f t="array" ref="L6">_xlfn.SWITCH(Bosnia_Policies_Table[[#This Row],[Impact]], "High", 1, "Medium", 0.66, "Low", 0.33)</f>
        <v>0.33</v>
      </c>
      <c r="M6" s="62" t="s">
        <v>491</v>
      </c>
      <c r="N6" s="62" t="s">
        <v>554</v>
      </c>
      <c r="O6" s="62" t="s">
        <v>438</v>
      </c>
      <c r="P6" s="17" t="s">
        <v>161</v>
      </c>
      <c r="Q6" s="62">
        <v>3</v>
      </c>
    </row>
    <row r="7" spans="1:17" ht="14.4" customHeight="1" x14ac:dyDescent="0.3">
      <c r="A7" s="38">
        <v>12</v>
      </c>
      <c r="B7" s="39" t="s">
        <v>127</v>
      </c>
      <c r="C7" s="40">
        <v>42534</v>
      </c>
      <c r="D7" s="39" t="s">
        <v>136</v>
      </c>
      <c r="E7" s="46" t="s">
        <v>123</v>
      </c>
      <c r="F7" s="45">
        <f>Bosnia_Policies_Table[[#This Row],[Rating]]*Bosnia_Policies_Table[[#This Row],[Impact Value]]</f>
        <v>1.98</v>
      </c>
      <c r="G7" s="45">
        <f>SUM(Bosnia_Policies_Table[[#This Row],[Impact on Country]:[Impact on EU Relations]])</f>
        <v>3</v>
      </c>
      <c r="H7" s="39">
        <v>1</v>
      </c>
      <c r="I7" s="39">
        <v>0</v>
      </c>
      <c r="J7" s="39">
        <v>1</v>
      </c>
      <c r="K7" s="39">
        <v>1</v>
      </c>
      <c r="L7" s="62" cm="1">
        <f t="array" ref="L7">_xlfn.SWITCH(Bosnia_Policies_Table[[#This Row],[Impact]], "High", 1, "Medium", 0.66, "Low", 0.33)</f>
        <v>0.66</v>
      </c>
      <c r="M7" s="62" t="s">
        <v>490</v>
      </c>
      <c r="N7" s="62" t="s">
        <v>555</v>
      </c>
      <c r="O7" s="62" t="s">
        <v>439</v>
      </c>
      <c r="P7" s="17" t="s">
        <v>137</v>
      </c>
      <c r="Q7" s="62">
        <v>3</v>
      </c>
    </row>
    <row r="8" spans="1:17" ht="14.4" customHeight="1" x14ac:dyDescent="0.3">
      <c r="A8" s="38">
        <v>12</v>
      </c>
      <c r="B8" s="39" t="s">
        <v>127</v>
      </c>
      <c r="C8" s="40">
        <v>42566</v>
      </c>
      <c r="D8" s="39" t="s">
        <v>166</v>
      </c>
      <c r="E8" s="46" t="s">
        <v>123</v>
      </c>
      <c r="F8" s="45">
        <f>Bosnia_Policies_Table[[#This Row],[Rating]]*Bosnia_Policies_Table[[#This Row],[Impact Value]]</f>
        <v>0.66</v>
      </c>
      <c r="G8" s="45">
        <f>SUM(Bosnia_Policies_Table[[#This Row],[Impact on Country]:[Impact on EU Relations]])</f>
        <v>2</v>
      </c>
      <c r="H8" s="39">
        <v>1</v>
      </c>
      <c r="I8" s="39">
        <v>0</v>
      </c>
      <c r="J8" s="39">
        <v>0</v>
      </c>
      <c r="K8" s="39">
        <v>1</v>
      </c>
      <c r="L8" s="62" cm="1">
        <f t="array" ref="L8">_xlfn.SWITCH(Bosnia_Policies_Table[[#This Row],[Impact]], "High", 1, "Medium", 0.66, "Low", 0.33)</f>
        <v>0.33</v>
      </c>
      <c r="M8" s="62" t="s">
        <v>491</v>
      </c>
      <c r="N8" s="62" t="s">
        <v>556</v>
      </c>
      <c r="O8" s="62" t="s">
        <v>412</v>
      </c>
      <c r="P8" s="17" t="s">
        <v>165</v>
      </c>
      <c r="Q8" s="62">
        <v>5</v>
      </c>
    </row>
    <row r="9" spans="1:17" ht="14.4" customHeight="1" x14ac:dyDescent="0.3">
      <c r="A9" s="38">
        <v>12</v>
      </c>
      <c r="B9" s="39" t="s">
        <v>127</v>
      </c>
      <c r="C9" s="40">
        <v>42629</v>
      </c>
      <c r="D9" s="39" t="s">
        <v>135</v>
      </c>
      <c r="E9" s="46" t="s">
        <v>123</v>
      </c>
      <c r="F9" s="45">
        <f>Bosnia_Policies_Table[[#This Row],[Rating]]*Bosnia_Policies_Table[[#This Row],[Impact Value]]</f>
        <v>0.66</v>
      </c>
      <c r="G9" s="45">
        <f>SUM(Bosnia_Policies_Table[[#This Row],[Impact on Country]:[Impact on EU Relations]])</f>
        <v>2</v>
      </c>
      <c r="H9" s="39">
        <v>1</v>
      </c>
      <c r="I9" s="39">
        <v>0</v>
      </c>
      <c r="J9" s="39">
        <v>0</v>
      </c>
      <c r="K9" s="39">
        <v>1</v>
      </c>
      <c r="L9" s="62" cm="1">
        <f t="array" ref="L9">_xlfn.SWITCH(Bosnia_Policies_Table[[#This Row],[Impact]], "High", 1, "Medium", 0.66, "Low", 0.33)</f>
        <v>0.33</v>
      </c>
      <c r="M9" s="62" t="s">
        <v>491</v>
      </c>
      <c r="N9" s="62" t="s">
        <v>557</v>
      </c>
      <c r="O9" s="62" t="s">
        <v>408</v>
      </c>
      <c r="P9" s="17" t="s">
        <v>134</v>
      </c>
      <c r="Q9" s="62">
        <v>4</v>
      </c>
    </row>
    <row r="10" spans="1:17" ht="14.4" customHeight="1" x14ac:dyDescent="0.3">
      <c r="A10" s="38">
        <v>12</v>
      </c>
      <c r="B10" s="39" t="s">
        <v>127</v>
      </c>
      <c r="C10" s="40">
        <v>43009</v>
      </c>
      <c r="D10" s="39" t="s">
        <v>131</v>
      </c>
      <c r="E10" s="46" t="s">
        <v>123</v>
      </c>
      <c r="F10" s="45">
        <f>Bosnia_Policies_Table[[#This Row],[Rating]]*Bosnia_Policies_Table[[#This Row],[Impact Value]]</f>
        <v>1.98</v>
      </c>
      <c r="G10" s="45">
        <f>SUM(Bosnia_Policies_Table[[#This Row],[Impact on Country]:[Impact on EU Relations]])</f>
        <v>3</v>
      </c>
      <c r="H10" s="39">
        <v>1</v>
      </c>
      <c r="I10" s="39">
        <v>0</v>
      </c>
      <c r="J10" s="39">
        <v>1</v>
      </c>
      <c r="K10" s="39">
        <v>1</v>
      </c>
      <c r="L10" s="62" cm="1">
        <f t="array" ref="L10">_xlfn.SWITCH(Bosnia_Policies_Table[[#This Row],[Impact]], "High", 1, "Medium", 0.66, "Low", 0.33)</f>
        <v>0.66</v>
      </c>
      <c r="M10" s="62" t="s">
        <v>490</v>
      </c>
      <c r="N10" s="62" t="s">
        <v>558</v>
      </c>
      <c r="O10" s="62" t="s">
        <v>409</v>
      </c>
      <c r="P10" s="17" t="s">
        <v>130</v>
      </c>
      <c r="Q10" s="62">
        <v>5</v>
      </c>
    </row>
    <row r="11" spans="1:17" ht="14.4" customHeight="1" x14ac:dyDescent="0.3">
      <c r="A11" s="38">
        <v>12</v>
      </c>
      <c r="B11" s="39" t="s">
        <v>127</v>
      </c>
      <c r="C11" s="40">
        <v>43160</v>
      </c>
      <c r="D11" s="39" t="s">
        <v>145</v>
      </c>
      <c r="E11" s="46" t="s">
        <v>121</v>
      </c>
      <c r="F11" s="45">
        <f>Bosnia_Policies_Table[[#This Row],[Rating]]*Bosnia_Policies_Table[[#This Row],[Impact Value]]</f>
        <v>-4</v>
      </c>
      <c r="G11" s="45">
        <f>SUM(Bosnia_Policies_Table[[#This Row],[Impact on Country]:[Impact on EU Relations]])</f>
        <v>-4</v>
      </c>
      <c r="H11" s="39">
        <v>-1</v>
      </c>
      <c r="I11" s="39">
        <v>-1</v>
      </c>
      <c r="J11" s="39">
        <v>-1</v>
      </c>
      <c r="K11" s="39">
        <v>-1</v>
      </c>
      <c r="L11" s="62" cm="1">
        <f t="array" ref="L11">_xlfn.SWITCH(Bosnia_Policies_Table[[#This Row],[Impact]], "High", 1, "Medium", 0.66, "Low", 0.33)</f>
        <v>1</v>
      </c>
      <c r="M11" s="62" t="s">
        <v>489</v>
      </c>
      <c r="N11" s="62" t="s">
        <v>559</v>
      </c>
      <c r="O11" s="62" t="s">
        <v>410</v>
      </c>
      <c r="P11" s="17" t="s">
        <v>144</v>
      </c>
      <c r="Q11" s="62">
        <v>6</v>
      </c>
    </row>
    <row r="12" spans="1:17" ht="14.4" customHeight="1" x14ac:dyDescent="0.3">
      <c r="A12" s="38">
        <v>12</v>
      </c>
      <c r="B12" s="39" t="s">
        <v>127</v>
      </c>
      <c r="C12" s="40">
        <v>43270</v>
      </c>
      <c r="D12" s="39" t="s">
        <v>245</v>
      </c>
      <c r="E12" s="46" t="s">
        <v>120</v>
      </c>
      <c r="F12" s="45">
        <f>Bosnia_Policies_Table[[#This Row],[Rating]]*Bosnia_Policies_Table[[#This Row],[Impact Value]]</f>
        <v>0</v>
      </c>
      <c r="G12" s="45">
        <f>SUM(Bosnia_Policies_Table[[#This Row],[Impact on Country]:[Impact on EU Relations]])</f>
        <v>0</v>
      </c>
      <c r="H12" s="39">
        <v>1</v>
      </c>
      <c r="I12" s="39">
        <v>0</v>
      </c>
      <c r="J12" s="39">
        <v>-1</v>
      </c>
      <c r="K12" s="39">
        <v>0</v>
      </c>
      <c r="L12" s="62" cm="1">
        <f t="array" ref="L12">_xlfn.SWITCH(Bosnia_Policies_Table[[#This Row],[Impact]], "High", 1, "Medium", 0.66, "Low", 0.33)</f>
        <v>0.66</v>
      </c>
      <c r="M12" s="62" t="s">
        <v>490</v>
      </c>
      <c r="N12" s="62" t="s">
        <v>560</v>
      </c>
      <c r="O12" s="62" t="s">
        <v>397</v>
      </c>
      <c r="P12" s="17" t="s">
        <v>156</v>
      </c>
      <c r="Q12" s="62">
        <v>4</v>
      </c>
    </row>
    <row r="13" spans="1:17" ht="14.4" customHeight="1" x14ac:dyDescent="0.3">
      <c r="A13" s="38">
        <v>12</v>
      </c>
      <c r="B13" s="39" t="s">
        <v>127</v>
      </c>
      <c r="C13" s="40">
        <v>44136</v>
      </c>
      <c r="D13" s="39" t="s">
        <v>168</v>
      </c>
      <c r="E13" s="46" t="s">
        <v>122</v>
      </c>
      <c r="F13" s="45">
        <f>Bosnia_Policies_Table[[#This Row],[Rating]]*Bosnia_Policies_Table[[#This Row],[Impact Value]]</f>
        <v>0.66</v>
      </c>
      <c r="G13" s="45">
        <f>SUM(Bosnia_Policies_Table[[#This Row],[Impact on Country]:[Impact on EU Relations]])</f>
        <v>1</v>
      </c>
      <c r="H13" s="39">
        <v>1</v>
      </c>
      <c r="I13" s="39">
        <v>0</v>
      </c>
      <c r="J13" s="39">
        <v>-1</v>
      </c>
      <c r="K13" s="39">
        <v>1</v>
      </c>
      <c r="L13" s="62" cm="1">
        <f t="array" ref="L13">_xlfn.SWITCH(Bosnia_Policies_Table[[#This Row],[Impact]], "High", 1, "Medium", 0.66, "Low", 0.33)</f>
        <v>0.66</v>
      </c>
      <c r="M13" s="62" t="s">
        <v>490</v>
      </c>
      <c r="N13" s="62" t="s">
        <v>561</v>
      </c>
      <c r="O13" s="62" t="s">
        <v>412</v>
      </c>
      <c r="P13" s="17" t="s">
        <v>167</v>
      </c>
      <c r="Q13" s="62">
        <v>3</v>
      </c>
    </row>
    <row r="14" spans="1:17" ht="14.4" customHeight="1" x14ac:dyDescent="0.3">
      <c r="A14" s="38">
        <v>12</v>
      </c>
      <c r="B14" s="39" t="s">
        <v>127</v>
      </c>
      <c r="C14" s="40">
        <v>44188</v>
      </c>
      <c r="D14" s="39" t="s">
        <v>147</v>
      </c>
      <c r="E14" s="46" t="s">
        <v>121</v>
      </c>
      <c r="F14" s="45">
        <f>Bosnia_Policies_Table[[#This Row],[Rating]]*Bosnia_Policies_Table[[#This Row],[Impact Value]]</f>
        <v>-3</v>
      </c>
      <c r="G14" s="45">
        <f>SUM(Bosnia_Policies_Table[[#This Row],[Impact on Country]:[Impact on EU Relations]])</f>
        <v>-3</v>
      </c>
      <c r="H14" s="39">
        <v>-1</v>
      </c>
      <c r="I14" s="39">
        <v>0</v>
      </c>
      <c r="J14" s="39">
        <v>-1</v>
      </c>
      <c r="K14" s="39">
        <v>-1</v>
      </c>
      <c r="L14" s="62" cm="1">
        <f t="array" ref="L14">_xlfn.SWITCH(Bosnia_Policies_Table[[#This Row],[Impact]], "High", 1, "Medium", 0.66, "Low", 0.33)</f>
        <v>1</v>
      </c>
      <c r="M14" s="62" t="s">
        <v>489</v>
      </c>
      <c r="N14" s="62" t="s">
        <v>562</v>
      </c>
      <c r="O14" s="62" t="s">
        <v>397</v>
      </c>
      <c r="P14" s="17" t="s">
        <v>146</v>
      </c>
      <c r="Q14" s="62">
        <v>8</v>
      </c>
    </row>
    <row r="15" spans="1:17" ht="14.4" customHeight="1" x14ac:dyDescent="0.3">
      <c r="A15" s="38">
        <v>12</v>
      </c>
      <c r="B15" s="39" t="s">
        <v>127</v>
      </c>
      <c r="C15" s="40">
        <v>44217</v>
      </c>
      <c r="D15" s="39" t="s">
        <v>151</v>
      </c>
      <c r="E15" s="46" t="s">
        <v>121</v>
      </c>
      <c r="F15" s="45">
        <f>Bosnia_Policies_Table[[#This Row],[Rating]]*Bosnia_Policies_Table[[#This Row],[Impact Value]]</f>
        <v>-3</v>
      </c>
      <c r="G15" s="45">
        <f>SUM(Bosnia_Policies_Table[[#This Row],[Impact on Country]:[Impact on EU Relations]])</f>
        <v>-3</v>
      </c>
      <c r="H15" s="39">
        <v>-1</v>
      </c>
      <c r="I15" s="39">
        <v>0</v>
      </c>
      <c r="J15" s="39">
        <v>-1</v>
      </c>
      <c r="K15" s="39">
        <v>-1</v>
      </c>
      <c r="L15" s="62" cm="1">
        <f t="array" ref="L15">_xlfn.SWITCH(Bosnia_Policies_Table[[#This Row],[Impact]], "High", 1, "Medium", 0.66, "Low", 0.33)</f>
        <v>1</v>
      </c>
      <c r="M15" s="62" t="s">
        <v>489</v>
      </c>
      <c r="N15" s="62" t="s">
        <v>563</v>
      </c>
      <c r="O15" s="62" t="s">
        <v>403</v>
      </c>
      <c r="P15" s="17" t="s">
        <v>150</v>
      </c>
      <c r="Q15" s="62">
        <v>5</v>
      </c>
    </row>
    <row r="16" spans="1:17" ht="14.4" customHeight="1" x14ac:dyDescent="0.3">
      <c r="A16" s="38">
        <v>12</v>
      </c>
      <c r="B16" s="39" t="s">
        <v>127</v>
      </c>
      <c r="C16" s="40">
        <v>44519</v>
      </c>
      <c r="D16" s="39" t="s">
        <v>149</v>
      </c>
      <c r="E16" s="46" t="s">
        <v>122</v>
      </c>
      <c r="F16" s="45">
        <f>Bosnia_Policies_Table[[#This Row],[Rating]]*Bosnia_Policies_Table[[#This Row],[Impact Value]]</f>
        <v>-0.66</v>
      </c>
      <c r="G16" s="45">
        <f>SUM(Bosnia_Policies_Table[[#This Row],[Impact on Country]:[Impact on EU Relations]])</f>
        <v>-1</v>
      </c>
      <c r="H16" s="39">
        <v>1</v>
      </c>
      <c r="I16" s="39">
        <v>0</v>
      </c>
      <c r="J16" s="39">
        <v>-1</v>
      </c>
      <c r="K16" s="39">
        <v>-1</v>
      </c>
      <c r="L16" s="62" cm="1">
        <f t="array" ref="L16">_xlfn.SWITCH(Bosnia_Policies_Table[[#This Row],[Impact]], "High", 1, "Medium", 0.66, "Low", 0.33)</f>
        <v>0.66</v>
      </c>
      <c r="M16" s="62" t="s">
        <v>490</v>
      </c>
      <c r="N16" s="62" t="s">
        <v>564</v>
      </c>
      <c r="O16" s="62" t="s">
        <v>404</v>
      </c>
      <c r="P16" s="17" t="s">
        <v>148</v>
      </c>
      <c r="Q16" s="62">
        <v>5</v>
      </c>
    </row>
    <row r="17" spans="1:17" ht="14.4" customHeight="1" x14ac:dyDescent="0.3">
      <c r="A17" s="38">
        <v>12</v>
      </c>
      <c r="B17" s="39" t="s">
        <v>127</v>
      </c>
      <c r="C17" s="40">
        <v>44531</v>
      </c>
      <c r="D17" s="39" t="s">
        <v>139</v>
      </c>
      <c r="E17" s="46" t="s">
        <v>123</v>
      </c>
      <c r="F17" s="45">
        <f>Bosnia_Policies_Table[[#This Row],[Rating]]*Bosnia_Policies_Table[[#This Row],[Impact Value]]</f>
        <v>0</v>
      </c>
      <c r="G17" s="45">
        <f>SUM(Bosnia_Policies_Table[[#This Row],[Impact on Country]:[Impact on EU Relations]])</f>
        <v>0</v>
      </c>
      <c r="H17" s="39">
        <v>0</v>
      </c>
      <c r="I17" s="39">
        <v>0</v>
      </c>
      <c r="J17" s="39">
        <v>0</v>
      </c>
      <c r="K17" s="39">
        <v>0</v>
      </c>
      <c r="L17" s="62" cm="1">
        <f t="array" ref="L17">_xlfn.SWITCH(Bosnia_Policies_Table[[#This Row],[Impact]], "High", 1, "Medium", 0.66, "Low", 0.33)</f>
        <v>0.33</v>
      </c>
      <c r="M17" s="62" t="s">
        <v>491</v>
      </c>
      <c r="N17" s="62" t="s">
        <v>565</v>
      </c>
      <c r="O17" s="62" t="s">
        <v>408</v>
      </c>
      <c r="P17" s="17" t="s">
        <v>138</v>
      </c>
      <c r="Q17" s="62">
        <v>3</v>
      </c>
    </row>
    <row r="18" spans="1:17" ht="14.4" customHeight="1" x14ac:dyDescent="0.3">
      <c r="A18" s="38">
        <v>12</v>
      </c>
      <c r="B18" s="39" t="s">
        <v>127</v>
      </c>
      <c r="C18" s="40">
        <v>44531</v>
      </c>
      <c r="D18" s="39" t="s">
        <v>140</v>
      </c>
      <c r="E18" s="46" t="s">
        <v>123</v>
      </c>
      <c r="F18" s="45">
        <f>Bosnia_Policies_Table[[#This Row],[Rating]]*Bosnia_Policies_Table[[#This Row],[Impact Value]]</f>
        <v>1.32</v>
      </c>
      <c r="G18" s="45">
        <f>SUM(Bosnia_Policies_Table[[#This Row],[Impact on Country]:[Impact on EU Relations]])</f>
        <v>2</v>
      </c>
      <c r="H18" s="39">
        <v>1</v>
      </c>
      <c r="I18" s="39">
        <v>0</v>
      </c>
      <c r="J18" s="39">
        <v>0</v>
      </c>
      <c r="K18" s="39">
        <v>1</v>
      </c>
      <c r="L18" s="62" cm="1">
        <f t="array" ref="L18">_xlfn.SWITCH(Bosnia_Policies_Table[[#This Row],[Impact]], "High", 1, "Medium", 0.66, "Low", 0.33)</f>
        <v>0.66</v>
      </c>
      <c r="M18" s="62" t="s">
        <v>490</v>
      </c>
      <c r="N18" s="62" t="s">
        <v>566</v>
      </c>
      <c r="O18" s="62" t="s">
        <v>439</v>
      </c>
      <c r="P18" s="17" t="s">
        <v>141</v>
      </c>
      <c r="Q18" s="62">
        <v>3</v>
      </c>
    </row>
    <row r="19" spans="1:17" ht="14.4" customHeight="1" x14ac:dyDescent="0.3">
      <c r="A19" s="38">
        <v>12</v>
      </c>
      <c r="B19" s="39" t="s">
        <v>127</v>
      </c>
      <c r="C19" s="40">
        <v>44904</v>
      </c>
      <c r="D19" t="s">
        <v>153</v>
      </c>
      <c r="E19" s="46" t="s">
        <v>123</v>
      </c>
      <c r="F19" s="45">
        <f>Bosnia_Policies_Table[[#This Row],[Rating]]*Bosnia_Policies_Table[[#This Row],[Impact Value]]</f>
        <v>-2</v>
      </c>
      <c r="G19" s="45">
        <f>SUM(Bosnia_Policies_Table[[#This Row],[Impact on Country]:[Impact on EU Relations]])</f>
        <v>-2</v>
      </c>
      <c r="H19" s="39">
        <v>1</v>
      </c>
      <c r="I19" s="39">
        <v>-1</v>
      </c>
      <c r="J19" s="39">
        <v>-1</v>
      </c>
      <c r="K19" s="39">
        <v>-1</v>
      </c>
      <c r="L19" s="62" cm="1">
        <f t="array" ref="L19">_xlfn.SWITCH(Bosnia_Policies_Table[[#This Row],[Impact]], "High", 1, "Medium", 0.66, "Low", 0.33)</f>
        <v>1</v>
      </c>
      <c r="M19" s="62" t="s">
        <v>489</v>
      </c>
      <c r="N19" s="62" t="s">
        <v>567</v>
      </c>
      <c r="O19" s="62" t="s">
        <v>397</v>
      </c>
      <c r="P19" s="17" t="s">
        <v>152</v>
      </c>
      <c r="Q19" s="62">
        <v>4</v>
      </c>
    </row>
    <row r="20" spans="1:17" ht="14.4" customHeight="1" x14ac:dyDescent="0.3">
      <c r="A20" s="38">
        <v>12</v>
      </c>
      <c r="B20" s="39" t="s">
        <v>127</v>
      </c>
      <c r="C20" s="40">
        <v>45239</v>
      </c>
      <c r="D20" s="39" t="s">
        <v>142</v>
      </c>
      <c r="E20" s="46" t="s">
        <v>123</v>
      </c>
      <c r="F20" s="45">
        <f>Bosnia_Policies_Table[[#This Row],[Rating]]*Bosnia_Policies_Table[[#This Row],[Impact Value]]</f>
        <v>0</v>
      </c>
      <c r="G20" s="45">
        <f>SUM(Bosnia_Policies_Table[[#This Row],[Impact on Country]:[Impact on EU Relations]])</f>
        <v>0</v>
      </c>
      <c r="H20" s="39">
        <v>1</v>
      </c>
      <c r="I20" s="39">
        <v>0</v>
      </c>
      <c r="J20" s="39">
        <v>-1</v>
      </c>
      <c r="K20" s="39">
        <v>0</v>
      </c>
      <c r="L20" s="62" cm="1">
        <f t="array" ref="L20">_xlfn.SWITCH(Bosnia_Policies_Table[[#This Row],[Impact]], "High", 1, "Medium", 0.66, "Low", 0.33)</f>
        <v>0.66</v>
      </c>
      <c r="M20" s="62" t="s">
        <v>490</v>
      </c>
      <c r="N20" s="62" t="s">
        <v>568</v>
      </c>
      <c r="O20" s="62" t="s">
        <v>411</v>
      </c>
      <c r="P20" s="17" t="s">
        <v>143</v>
      </c>
      <c r="Q20" s="62">
        <v>3</v>
      </c>
    </row>
    <row r="21" spans="1:17" ht="14.4" customHeight="1" x14ac:dyDescent="0.3">
      <c r="A21" s="38">
        <v>12</v>
      </c>
      <c r="B21" s="39" t="s">
        <v>127</v>
      </c>
      <c r="C21" s="40">
        <v>45261</v>
      </c>
      <c r="D21" s="39" t="s">
        <v>158</v>
      </c>
      <c r="E21" s="46" t="s">
        <v>122</v>
      </c>
      <c r="F21" s="45">
        <f>Bosnia_Policies_Table[[#This Row],[Rating]]*Bosnia_Policies_Table[[#This Row],[Impact Value]]</f>
        <v>1.32</v>
      </c>
      <c r="G21" s="45">
        <f>SUM(Bosnia_Policies_Table[[#This Row],[Impact on Country]:[Impact on EU Relations]])</f>
        <v>2</v>
      </c>
      <c r="H21" s="39">
        <v>1</v>
      </c>
      <c r="I21" s="39">
        <v>1</v>
      </c>
      <c r="J21" s="39">
        <v>-1</v>
      </c>
      <c r="K21" s="39">
        <v>1</v>
      </c>
      <c r="L21" s="62" cm="1">
        <f t="array" ref="L21">_xlfn.SWITCH(Bosnia_Policies_Table[[#This Row],[Impact]], "High", 1, "Medium", 0.66, "Low", 0.33)</f>
        <v>0.66</v>
      </c>
      <c r="M21" s="62" t="s">
        <v>490</v>
      </c>
      <c r="N21" s="62" t="s">
        <v>569</v>
      </c>
      <c r="O21" s="62" t="s">
        <v>412</v>
      </c>
      <c r="P21" s="17" t="s">
        <v>157</v>
      </c>
      <c r="Q21" s="62">
        <v>4</v>
      </c>
    </row>
    <row r="22" spans="1:17" ht="14.4" customHeight="1" x14ac:dyDescent="0.3">
      <c r="A22" s="38">
        <v>12</v>
      </c>
      <c r="B22" s="39" t="s">
        <v>127</v>
      </c>
      <c r="C22" s="40">
        <v>45292</v>
      </c>
      <c r="D22" s="39" t="s">
        <v>160</v>
      </c>
      <c r="E22" s="46" t="s">
        <v>123</v>
      </c>
      <c r="F22" s="45">
        <f>Bosnia_Policies_Table[[#This Row],[Rating]]*Bosnia_Policies_Table[[#This Row],[Impact Value]]</f>
        <v>1.32</v>
      </c>
      <c r="G22" s="45">
        <f>SUM(Bosnia_Policies_Table[[#This Row],[Impact on Country]:[Impact on EU Relations]])</f>
        <v>2</v>
      </c>
      <c r="H22" s="39">
        <v>1</v>
      </c>
      <c r="I22" s="39">
        <v>1</v>
      </c>
      <c r="J22" s="39">
        <v>-1</v>
      </c>
      <c r="K22" s="39">
        <v>1</v>
      </c>
      <c r="L22" s="62" cm="1">
        <f t="array" ref="L22">_xlfn.SWITCH(Bosnia_Policies_Table[[#This Row],[Impact]], "High", 1, "Medium", 0.66, "Low", 0.33)</f>
        <v>0.66</v>
      </c>
      <c r="M22" s="62" t="s">
        <v>490</v>
      </c>
      <c r="N22" s="62" t="s">
        <v>570</v>
      </c>
      <c r="O22" s="62" t="s">
        <v>412</v>
      </c>
      <c r="P22" s="17" t="s">
        <v>159</v>
      </c>
      <c r="Q22" s="84">
        <v>3</v>
      </c>
    </row>
    <row r="23" spans="1:17" ht="14.4" customHeight="1" x14ac:dyDescent="0.3">
      <c r="A23" s="26"/>
      <c r="B23" s="26"/>
      <c r="C23" s="32"/>
      <c r="D23" s="33"/>
      <c r="G23" s="26"/>
      <c r="H23" s="26"/>
      <c r="I23" s="26"/>
      <c r="J23" s="26"/>
      <c r="K23" s="34"/>
      <c r="L23" s="34"/>
      <c r="M23" s="34"/>
      <c r="N23" s="34"/>
      <c r="O23" s="34"/>
    </row>
    <row r="24" spans="1:17" ht="14.4" customHeight="1" x14ac:dyDescent="0.3">
      <c r="A24" s="26"/>
      <c r="B24" s="26"/>
      <c r="C24" s="32"/>
      <c r="D24" s="33"/>
      <c r="G24" s="26"/>
      <c r="H24" s="26"/>
      <c r="I24" s="26"/>
      <c r="J24" s="26"/>
      <c r="K24" s="34"/>
      <c r="L24" s="34"/>
      <c r="M24" s="34"/>
      <c r="N24" s="34"/>
      <c r="O24" s="34"/>
    </row>
    <row r="25" spans="1:17" ht="14.4" customHeight="1" x14ac:dyDescent="0.3">
      <c r="A25" s="26"/>
      <c r="B25" s="26"/>
      <c r="C25" s="32"/>
      <c r="D25" s="33"/>
      <c r="G25" s="26"/>
      <c r="H25" s="26"/>
      <c r="I25" s="26"/>
      <c r="J25" s="26"/>
      <c r="K25" s="34"/>
      <c r="L25" s="34"/>
      <c r="M25" s="34"/>
      <c r="N25" s="34"/>
      <c r="O25" s="34"/>
    </row>
    <row r="26" spans="1:17" ht="14.4" customHeight="1" x14ac:dyDescent="0.3">
      <c r="A26" s="26"/>
      <c r="B26" s="26"/>
      <c r="C26" s="32"/>
      <c r="D26" s="33"/>
      <c r="G26" s="26"/>
      <c r="H26" s="26"/>
      <c r="I26" s="26"/>
      <c r="J26" s="26"/>
      <c r="K26" s="34"/>
      <c r="L26" s="34"/>
      <c r="M26" s="34"/>
      <c r="N26" s="34"/>
      <c r="O26" s="34"/>
    </row>
    <row r="27" spans="1:17" ht="14.4" customHeight="1" x14ac:dyDescent="0.3">
      <c r="A27" s="26"/>
      <c r="B27" s="26"/>
      <c r="C27" s="32"/>
      <c r="D27" s="33"/>
      <c r="G27" s="26"/>
      <c r="H27" s="26"/>
      <c r="I27" s="26"/>
      <c r="J27" s="26"/>
      <c r="K27" s="34"/>
      <c r="L27" s="34"/>
      <c r="M27" s="34"/>
      <c r="N27" s="34"/>
      <c r="O27" s="34"/>
    </row>
    <row r="28" spans="1:17" ht="14.4" customHeight="1" x14ac:dyDescent="0.3">
      <c r="A28" s="26"/>
      <c r="B28" s="26"/>
      <c r="C28" s="32"/>
      <c r="D28" s="33"/>
      <c r="G28" s="26"/>
      <c r="H28" s="26"/>
      <c r="I28" s="26"/>
      <c r="J28" s="26"/>
      <c r="K28" s="34"/>
      <c r="L28" s="34"/>
      <c r="M28" s="34"/>
      <c r="N28" s="34"/>
      <c r="O28" s="34"/>
    </row>
    <row r="29" spans="1:17" ht="14.4" customHeight="1" x14ac:dyDescent="0.3">
      <c r="A29" s="26"/>
      <c r="B29" s="26"/>
      <c r="C29" s="32"/>
      <c r="D29" s="33"/>
      <c r="G29" s="26"/>
      <c r="H29" s="26"/>
      <c r="I29" s="26"/>
      <c r="J29" s="26"/>
      <c r="K29" s="34"/>
      <c r="L29" s="34"/>
      <c r="M29" s="34"/>
      <c r="N29" s="34"/>
      <c r="O29" s="34"/>
    </row>
    <row r="30" spans="1:17" ht="14.4" customHeight="1" x14ac:dyDescent="0.3">
      <c r="A30" s="26"/>
      <c r="B30" s="26"/>
      <c r="C30" s="32"/>
      <c r="D30" s="33"/>
      <c r="G30" s="26"/>
      <c r="H30" s="26"/>
      <c r="I30" s="26"/>
      <c r="J30" s="26"/>
      <c r="K30" s="34"/>
      <c r="L30" s="34"/>
      <c r="M30" s="34"/>
      <c r="N30" s="34"/>
      <c r="O30" s="34"/>
    </row>
    <row r="31" spans="1:17" ht="14.4" customHeight="1" x14ac:dyDescent="0.3">
      <c r="A31" s="26"/>
      <c r="B31" s="26"/>
      <c r="C31" s="32"/>
      <c r="D31" s="33"/>
      <c r="G31" s="26"/>
      <c r="H31" s="26"/>
      <c r="I31" s="26"/>
      <c r="J31" s="26"/>
      <c r="K31" s="34"/>
      <c r="L31" s="34"/>
      <c r="M31" s="34"/>
      <c r="N31" s="34"/>
      <c r="O31" s="34"/>
    </row>
    <row r="32" spans="1:17" ht="14.4" customHeight="1" x14ac:dyDescent="0.3">
      <c r="A32" s="26"/>
      <c r="B32" s="26"/>
      <c r="C32" s="32"/>
      <c r="D32" s="33"/>
      <c r="G32" s="26"/>
      <c r="H32" s="26"/>
      <c r="I32" s="26"/>
      <c r="J32" s="26"/>
      <c r="K32" s="34"/>
      <c r="L32" s="34"/>
      <c r="M32" s="34"/>
      <c r="N32" s="34"/>
      <c r="O32" s="34"/>
    </row>
    <row r="33" spans="1:15" ht="14.4" customHeight="1" x14ac:dyDescent="0.3">
      <c r="A33" s="26"/>
      <c r="B33" s="26"/>
      <c r="C33" s="32"/>
      <c r="D33" s="33"/>
      <c r="G33" s="26"/>
      <c r="H33" s="26"/>
      <c r="I33" s="26"/>
      <c r="J33" s="26"/>
      <c r="K33" s="34"/>
      <c r="L33" s="34"/>
      <c r="M33" s="34"/>
      <c r="N33" s="34"/>
      <c r="O33" s="34"/>
    </row>
    <row r="34" spans="1:15" ht="14.4" customHeight="1" x14ac:dyDescent="0.3">
      <c r="A34" s="26"/>
      <c r="B34" s="26"/>
      <c r="C34" s="32"/>
      <c r="D34" s="33"/>
      <c r="G34" s="26"/>
      <c r="H34" s="26"/>
      <c r="I34" s="26"/>
      <c r="J34" s="26"/>
      <c r="K34" s="34"/>
      <c r="L34" s="34"/>
      <c r="M34" s="34"/>
      <c r="N34" s="34"/>
      <c r="O34" s="34"/>
    </row>
    <row r="35" spans="1:15" ht="14.4" customHeight="1" x14ac:dyDescent="0.3">
      <c r="A35" s="26"/>
      <c r="B35" s="26"/>
      <c r="C35" s="32"/>
      <c r="D35" s="33"/>
      <c r="G35" s="26"/>
      <c r="H35" s="26"/>
      <c r="I35" s="26"/>
      <c r="J35" s="26"/>
      <c r="K35" s="34"/>
      <c r="L35" s="34"/>
      <c r="M35" s="34"/>
      <c r="N35" s="34"/>
      <c r="O35" s="34"/>
    </row>
    <row r="36" spans="1:15" ht="14.4" customHeight="1" x14ac:dyDescent="0.3">
      <c r="A36" s="26"/>
      <c r="B36" s="26"/>
      <c r="C36" s="32"/>
      <c r="D36" s="33"/>
      <c r="G36" s="26"/>
      <c r="H36" s="26"/>
      <c r="I36" s="26"/>
      <c r="J36" s="26"/>
      <c r="K36" s="34"/>
      <c r="L36" s="34"/>
      <c r="M36" s="34"/>
      <c r="N36" s="34"/>
      <c r="O36" s="34"/>
    </row>
    <row r="37" spans="1:15" ht="14.4" customHeight="1" x14ac:dyDescent="0.3">
      <c r="A37" s="26"/>
      <c r="B37" s="26"/>
      <c r="C37" s="32"/>
      <c r="D37" s="33"/>
      <c r="G37" s="26"/>
      <c r="H37" s="26"/>
      <c r="I37" s="26"/>
      <c r="J37" s="26"/>
      <c r="K37" s="34"/>
      <c r="L37" s="34"/>
      <c r="M37" s="34"/>
      <c r="N37" s="34"/>
      <c r="O37" s="34"/>
    </row>
    <row r="38" spans="1:15" ht="14.4" customHeight="1" x14ac:dyDescent="0.3">
      <c r="A38" s="26"/>
      <c r="B38" s="26"/>
      <c r="C38" s="32"/>
      <c r="D38" s="33"/>
      <c r="G38" s="26"/>
      <c r="H38" s="26"/>
      <c r="I38" s="26"/>
      <c r="J38" s="26"/>
      <c r="K38" s="34"/>
      <c r="L38" s="34"/>
      <c r="M38" s="34"/>
      <c r="N38" s="34"/>
      <c r="O38" s="34"/>
    </row>
    <row r="39" spans="1:15" ht="14.4" customHeight="1" x14ac:dyDescent="0.3">
      <c r="A39" s="26"/>
      <c r="B39" s="26"/>
      <c r="C39" s="32"/>
      <c r="D39" s="33"/>
      <c r="G39" s="26"/>
      <c r="H39" s="26"/>
      <c r="I39" s="26"/>
      <c r="J39" s="26"/>
      <c r="K39" s="34"/>
      <c r="L39" s="34"/>
      <c r="M39" s="34"/>
      <c r="N39" s="34"/>
      <c r="O39" s="34"/>
    </row>
    <row r="40" spans="1:15" ht="14.4" customHeight="1" x14ac:dyDescent="0.3">
      <c r="A40" s="26"/>
      <c r="B40" s="26"/>
      <c r="C40" s="32"/>
      <c r="D40" s="33"/>
      <c r="G40" s="26"/>
      <c r="H40" s="26"/>
      <c r="I40" s="26"/>
      <c r="J40" s="26"/>
      <c r="K40" s="34"/>
      <c r="L40" s="34"/>
      <c r="M40" s="34"/>
      <c r="N40" s="34"/>
      <c r="O40" s="34"/>
    </row>
    <row r="41" spans="1:15" ht="14.4" customHeight="1" x14ac:dyDescent="0.3">
      <c r="A41" s="26"/>
      <c r="B41" s="26"/>
      <c r="C41" s="32"/>
      <c r="D41" s="33"/>
      <c r="G41" s="26"/>
      <c r="H41" s="26"/>
      <c r="I41" s="26"/>
      <c r="J41" s="26"/>
      <c r="K41" s="34"/>
      <c r="L41" s="34"/>
      <c r="M41" s="34"/>
      <c r="N41" s="34"/>
      <c r="O41" s="34"/>
    </row>
    <row r="42" spans="1:15" ht="14.4" customHeight="1" x14ac:dyDescent="0.3">
      <c r="A42" s="26"/>
      <c r="B42" s="26"/>
      <c r="C42" s="32"/>
      <c r="D42" s="33"/>
      <c r="G42" s="26"/>
      <c r="H42" s="26"/>
      <c r="I42" s="26"/>
      <c r="J42" s="26"/>
      <c r="K42" s="34"/>
      <c r="L42" s="34"/>
      <c r="M42" s="34"/>
      <c r="N42" s="34"/>
      <c r="O42" s="34"/>
    </row>
    <row r="43" spans="1:15" ht="14.4" customHeight="1" x14ac:dyDescent="0.3">
      <c r="A43" s="26"/>
      <c r="B43" s="26"/>
      <c r="C43" s="32"/>
      <c r="D43" s="33"/>
      <c r="G43" s="26"/>
      <c r="H43" s="26"/>
      <c r="I43" s="26"/>
      <c r="J43" s="26"/>
      <c r="K43" s="34"/>
      <c r="L43" s="34"/>
      <c r="M43" s="34"/>
      <c r="N43" s="34"/>
      <c r="O43" s="34"/>
    </row>
    <row r="44" spans="1:15" ht="14.4" customHeight="1" x14ac:dyDescent="0.3">
      <c r="A44" s="26"/>
      <c r="B44" s="26"/>
      <c r="C44" s="32"/>
      <c r="D44" s="33"/>
      <c r="G44" s="26"/>
      <c r="H44" s="26"/>
      <c r="I44" s="26"/>
      <c r="J44" s="26"/>
      <c r="K44" s="34"/>
      <c r="L44" s="34"/>
      <c r="M44" s="34"/>
      <c r="N44" s="34"/>
      <c r="O44" s="34"/>
    </row>
    <row r="45" spans="1:15" ht="14.4" customHeight="1" x14ac:dyDescent="0.3">
      <c r="A45" s="26"/>
      <c r="B45" s="26"/>
      <c r="C45" s="32"/>
      <c r="D45" s="33"/>
      <c r="G45" s="26"/>
      <c r="H45" s="26"/>
      <c r="I45" s="26"/>
      <c r="J45" s="26"/>
      <c r="K45" s="34"/>
      <c r="L45" s="34"/>
      <c r="M45" s="34"/>
      <c r="N45" s="34"/>
      <c r="O45" s="34"/>
    </row>
    <row r="46" spans="1:15" ht="14.4" customHeight="1" x14ac:dyDescent="0.3">
      <c r="A46" s="26"/>
      <c r="B46" s="26"/>
      <c r="C46" s="32"/>
      <c r="D46" s="33"/>
      <c r="G46" s="26"/>
      <c r="H46" s="26"/>
      <c r="I46" s="26"/>
      <c r="J46" s="26"/>
      <c r="K46" s="34"/>
      <c r="L46" s="34"/>
      <c r="M46" s="34"/>
      <c r="N46" s="34"/>
      <c r="O46" s="34"/>
    </row>
    <row r="47" spans="1:15" ht="14.4" customHeight="1" x14ac:dyDescent="0.3">
      <c r="A47" s="26"/>
      <c r="B47" s="26"/>
      <c r="C47" s="32"/>
      <c r="D47" s="33"/>
      <c r="G47" s="26"/>
      <c r="H47" s="26"/>
      <c r="I47" s="26"/>
      <c r="J47" s="26"/>
      <c r="K47" s="34"/>
      <c r="L47" s="34"/>
      <c r="M47" s="34"/>
      <c r="N47" s="34"/>
      <c r="O47" s="34"/>
    </row>
    <row r="48" spans="1:15" ht="14.4" customHeight="1" x14ac:dyDescent="0.3">
      <c r="A48" s="26"/>
      <c r="B48" s="26"/>
      <c r="C48" s="32"/>
      <c r="D48" s="33"/>
      <c r="G48" s="26"/>
      <c r="H48" s="26"/>
      <c r="I48" s="26"/>
      <c r="J48" s="26"/>
      <c r="K48" s="34"/>
      <c r="L48" s="34"/>
      <c r="M48" s="34"/>
      <c r="N48" s="34"/>
      <c r="O48" s="34"/>
    </row>
    <row r="49" spans="1:15" ht="14.4" customHeight="1" x14ac:dyDescent="0.3">
      <c r="A49" s="26"/>
      <c r="B49" s="26"/>
      <c r="C49" s="32"/>
      <c r="D49" s="33"/>
      <c r="G49" s="26"/>
      <c r="H49" s="26"/>
      <c r="I49" s="26"/>
      <c r="J49" s="26"/>
      <c r="K49" s="34"/>
      <c r="L49" s="34"/>
      <c r="M49" s="34"/>
      <c r="N49" s="34"/>
      <c r="O49" s="34"/>
    </row>
    <row r="50" spans="1:15" ht="14.4" customHeight="1" x14ac:dyDescent="0.3">
      <c r="A50" s="26"/>
      <c r="B50" s="26"/>
      <c r="C50" s="32"/>
      <c r="D50" s="33"/>
      <c r="G50" s="26"/>
      <c r="H50" s="26"/>
      <c r="I50" s="26"/>
      <c r="J50" s="26"/>
      <c r="K50" s="34"/>
      <c r="L50" s="34"/>
      <c r="M50" s="34"/>
      <c r="N50" s="34"/>
      <c r="O50" s="34"/>
    </row>
    <row r="51" spans="1:15" ht="14.4" customHeight="1" x14ac:dyDescent="0.3">
      <c r="A51" s="26"/>
      <c r="B51" s="26"/>
      <c r="C51" s="32"/>
      <c r="D51" s="33"/>
      <c r="G51" s="26"/>
      <c r="H51" s="26"/>
      <c r="I51" s="26"/>
      <c r="J51" s="26"/>
      <c r="K51" s="34"/>
      <c r="L51" s="34"/>
      <c r="M51" s="34"/>
      <c r="N51" s="34"/>
      <c r="O51" s="34"/>
    </row>
    <row r="52" spans="1:15" ht="14.4" customHeight="1" x14ac:dyDescent="0.3">
      <c r="A52" s="26"/>
      <c r="B52" s="26"/>
      <c r="C52" s="32"/>
      <c r="D52" s="33"/>
      <c r="G52" s="26"/>
      <c r="H52" s="26"/>
      <c r="I52" s="26"/>
      <c r="J52" s="26"/>
      <c r="K52" s="34"/>
      <c r="L52" s="34"/>
      <c r="M52" s="34"/>
      <c r="N52" s="34"/>
      <c r="O52" s="34"/>
    </row>
    <row r="53" spans="1:15" ht="14.4" customHeight="1" x14ac:dyDescent="0.3">
      <c r="A53" s="26"/>
      <c r="B53" s="26"/>
      <c r="C53" s="32"/>
      <c r="D53" s="33"/>
      <c r="G53" s="26"/>
      <c r="H53" s="26"/>
      <c r="I53" s="26"/>
      <c r="J53" s="26"/>
      <c r="K53" s="34"/>
      <c r="L53" s="34"/>
      <c r="M53" s="34"/>
      <c r="N53" s="34"/>
      <c r="O53" s="34"/>
    </row>
    <row r="54" spans="1:15" ht="14.4" customHeight="1" x14ac:dyDescent="0.3">
      <c r="A54" s="26"/>
      <c r="B54" s="26"/>
      <c r="C54" s="32"/>
      <c r="D54" s="33"/>
      <c r="G54" s="26"/>
      <c r="H54" s="26"/>
      <c r="I54" s="26"/>
      <c r="J54" s="26"/>
      <c r="K54" s="34"/>
      <c r="L54" s="34"/>
      <c r="M54" s="34"/>
      <c r="N54" s="34"/>
      <c r="O54" s="34"/>
    </row>
    <row r="55" spans="1:15" ht="14.4" customHeight="1" x14ac:dyDescent="0.3">
      <c r="A55" s="26"/>
      <c r="B55" s="26"/>
      <c r="C55" s="32"/>
      <c r="D55" s="33"/>
      <c r="G55" s="26"/>
      <c r="H55" s="26"/>
      <c r="I55" s="26"/>
      <c r="J55" s="26"/>
      <c r="K55" s="34"/>
      <c r="L55" s="34"/>
      <c r="M55" s="34"/>
      <c r="N55" s="34"/>
      <c r="O55" s="34"/>
    </row>
    <row r="56" spans="1:15" ht="14.4" customHeight="1" x14ac:dyDescent="0.3">
      <c r="A56" s="26"/>
      <c r="B56" s="26"/>
      <c r="C56" s="32"/>
      <c r="D56" s="33"/>
      <c r="G56" s="26"/>
      <c r="H56" s="26"/>
      <c r="I56" s="26"/>
      <c r="J56" s="26"/>
      <c r="K56" s="34"/>
      <c r="L56" s="34"/>
      <c r="M56" s="34"/>
      <c r="N56" s="34"/>
      <c r="O56" s="34"/>
    </row>
    <row r="57" spans="1:15" ht="14.4" customHeight="1" x14ac:dyDescent="0.3">
      <c r="A57" s="26"/>
      <c r="B57" s="26"/>
      <c r="C57" s="32"/>
      <c r="D57" s="33"/>
      <c r="G57" s="26"/>
      <c r="H57" s="26"/>
      <c r="I57" s="26"/>
      <c r="J57" s="26"/>
      <c r="K57" s="34"/>
      <c r="L57" s="34"/>
      <c r="M57" s="34"/>
      <c r="N57" s="34"/>
      <c r="O57" s="34"/>
    </row>
    <row r="58" spans="1:15" ht="14.4" customHeight="1" x14ac:dyDescent="0.3">
      <c r="A58" s="26"/>
      <c r="B58" s="26"/>
      <c r="C58" s="32"/>
      <c r="D58" s="33"/>
      <c r="G58" s="26"/>
      <c r="H58" s="26"/>
      <c r="I58" s="26"/>
      <c r="J58" s="26"/>
      <c r="K58" s="34"/>
      <c r="L58" s="34"/>
      <c r="M58" s="34"/>
      <c r="N58" s="34"/>
      <c r="O58" s="34"/>
    </row>
    <row r="59" spans="1:15" ht="14.4" customHeight="1" x14ac:dyDescent="0.3"/>
  </sheetData>
  <phoneticPr fontId="9" type="noConversion"/>
  <hyperlinks>
    <hyperlink ref="P3" r:id="rId1" xr:uid="{9C037526-43D9-4F7F-9EA5-66B2B9C0F850}"/>
    <hyperlink ref="P10" r:id="rId2" xr:uid="{0916F8A7-2B5B-444E-8541-80308E4369D2}"/>
    <hyperlink ref="P4" r:id="rId3" xr:uid="{78B82012-420D-4A57-8D27-71D6C4FFA05F}"/>
    <hyperlink ref="P9" r:id="rId4" xr:uid="{BEA6A54B-82D1-4DF9-B434-F4FCA538BF8D}"/>
    <hyperlink ref="P7" r:id="rId5" xr:uid="{3D9BA73E-536B-472B-A0B6-11DBF77B5C72}"/>
    <hyperlink ref="P17" r:id="rId6" xr:uid="{813C3081-9522-4B69-BB43-90AEB3B6244D}"/>
    <hyperlink ref="P18" r:id="rId7" xr:uid="{DA994948-DBC4-4C06-8E76-A6657FD755FA}"/>
    <hyperlink ref="P20" r:id="rId8" xr:uid="{868F4A5A-80A2-48E3-BEB5-40C3B24ECBB0}"/>
    <hyperlink ref="P11" r:id="rId9" xr:uid="{5CD0B9F8-EB75-49A5-9505-8F656C8CF9F3}"/>
    <hyperlink ref="P14" r:id="rId10" xr:uid="{39FFBC6A-3C45-4358-83E2-9D825876274A}"/>
    <hyperlink ref="P16" r:id="rId11" xr:uid="{1222E6A7-FE2E-453F-91FF-321ED8CF3246}"/>
    <hyperlink ref="P15" r:id="rId12" xr:uid="{D59863DD-F45E-4D9E-B7CA-964747F1F130}"/>
    <hyperlink ref="P19" r:id="rId13" xr:uid="{112322AE-6848-45E6-8CC0-4551368E786F}"/>
    <hyperlink ref="P5" r:id="rId14" xr:uid="{44A21B1F-D48D-4A71-A87F-E50C7FF6C7C7}"/>
    <hyperlink ref="P12" r:id="rId15" xr:uid="{8138EB72-A7A9-433F-9807-5E366FA8726E}"/>
    <hyperlink ref="P21" r:id="rId16" xr:uid="{2B668C9B-16FA-4F52-82E9-5C1D19250A40}"/>
    <hyperlink ref="P22" r:id="rId17" xr:uid="{1C0F61ED-30C6-4DA1-8554-0CC89BB0E476}"/>
    <hyperlink ref="P6" r:id="rId18" xr:uid="{93E777F2-E5BE-4E5E-B3FB-A3B1C111C199}"/>
    <hyperlink ref="P2" r:id="rId19" xr:uid="{C4206082-CE49-40D2-BAB8-0D5325B3B809}"/>
    <hyperlink ref="P8" r:id="rId20" xr:uid="{AF25E60B-DC59-4722-9756-32C118EE298A}"/>
    <hyperlink ref="P13" r:id="rId21" xr:uid="{11D201B1-9A95-4E31-81E9-60027D067D60}"/>
  </hyperlinks>
  <pageMargins left="0.7" right="0.7" top="0.75" bottom="0.75" header="0.3" footer="0.3"/>
  <tableParts count="1">
    <tablePart r:id="rId2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FC5B9-2564-450A-B1CB-F6A1522FC525}">
  <dimension ref="A4:C27"/>
  <sheetViews>
    <sheetView topLeftCell="A4" workbookViewId="0">
      <selection activeCell="A4" sqref="A4"/>
    </sheetView>
  </sheetViews>
  <sheetFormatPr defaultRowHeight="14.4" x14ac:dyDescent="0.3"/>
  <cols>
    <col min="1" max="1" width="10.77734375" bestFit="1" customWidth="1"/>
    <col min="2" max="2" width="15.44140625" bestFit="1" customWidth="1"/>
    <col min="3" max="3" width="13.77734375" bestFit="1" customWidth="1"/>
  </cols>
  <sheetData>
    <row r="4" spans="1:3" x14ac:dyDescent="0.3">
      <c r="A4" t="s">
        <v>243</v>
      </c>
      <c r="B4" t="s">
        <v>645</v>
      </c>
      <c r="C4" t="s">
        <v>644</v>
      </c>
    </row>
    <row r="5" spans="1:3" x14ac:dyDescent="0.3">
      <c r="A5">
        <v>2015</v>
      </c>
      <c r="B5">
        <v>2.64</v>
      </c>
      <c r="C5">
        <v>4</v>
      </c>
    </row>
    <row r="6" spans="1:3" x14ac:dyDescent="0.3">
      <c r="A6">
        <v>2016</v>
      </c>
      <c r="B6">
        <v>4.96</v>
      </c>
      <c r="C6">
        <f>C5+Bosnia_Rating[[#This Row],[Rating Change]]</f>
        <v>8.9600000000000009</v>
      </c>
    </row>
    <row r="7" spans="1:3" x14ac:dyDescent="0.3">
      <c r="A7">
        <v>2017</v>
      </c>
      <c r="B7">
        <v>1.98</v>
      </c>
      <c r="C7">
        <f>C6+Bosnia_Rating[[#This Row],[Rating Change]]</f>
        <v>10.940000000000001</v>
      </c>
    </row>
    <row r="8" spans="1:3" x14ac:dyDescent="0.3">
      <c r="A8">
        <v>2018</v>
      </c>
      <c r="B8">
        <v>-4</v>
      </c>
      <c r="C8">
        <f>C7+Bosnia_Rating[[#This Row],[Rating Change]]</f>
        <v>6.9400000000000013</v>
      </c>
    </row>
    <row r="9" spans="1:3" x14ac:dyDescent="0.3">
      <c r="A9">
        <v>2019</v>
      </c>
      <c r="B9">
        <v>0</v>
      </c>
      <c r="C9">
        <f>C8+Bosnia_Rating[[#This Row],[Rating Change]]</f>
        <v>6.9400000000000013</v>
      </c>
    </row>
    <row r="10" spans="1:3" x14ac:dyDescent="0.3">
      <c r="A10">
        <v>2020</v>
      </c>
      <c r="B10">
        <v>-2.34</v>
      </c>
      <c r="C10">
        <f>C9+Bosnia_Rating[[#This Row],[Rating Change]]</f>
        <v>4.6000000000000014</v>
      </c>
    </row>
    <row r="11" spans="1:3" x14ac:dyDescent="0.3">
      <c r="A11">
        <v>2021</v>
      </c>
      <c r="B11">
        <v>-2.34</v>
      </c>
      <c r="C11">
        <f>C10+Bosnia_Rating[[#This Row],[Rating Change]]</f>
        <v>2.2600000000000016</v>
      </c>
    </row>
    <row r="12" spans="1:3" x14ac:dyDescent="0.3">
      <c r="A12">
        <v>2022</v>
      </c>
      <c r="B12">
        <v>-2</v>
      </c>
      <c r="C12">
        <f>C11+Bosnia_Rating[[#This Row],[Rating Change]]</f>
        <v>0.26000000000000156</v>
      </c>
    </row>
    <row r="13" spans="1:3" x14ac:dyDescent="0.3">
      <c r="A13">
        <v>2023</v>
      </c>
      <c r="B13">
        <v>1.32</v>
      </c>
      <c r="C13">
        <f>C12+Bosnia_Rating[[#This Row],[Rating Change]]</f>
        <v>1.5800000000000016</v>
      </c>
    </row>
    <row r="14" spans="1:3" x14ac:dyDescent="0.3">
      <c r="A14">
        <v>2024</v>
      </c>
      <c r="B14">
        <v>1.32</v>
      </c>
      <c r="C14">
        <f>C13+Bosnia_Rating[[#This Row],[Rating Change]]</f>
        <v>2.9000000000000017</v>
      </c>
    </row>
    <row r="15" spans="1:3" x14ac:dyDescent="0.3">
      <c r="A15">
        <v>2025</v>
      </c>
      <c r="B15">
        <v>0</v>
      </c>
      <c r="C15">
        <f>C14+Bosnia_Rating[[#This Row],[Rating Change]]</f>
        <v>2.9000000000000017</v>
      </c>
    </row>
    <row r="17" spans="1:2" x14ac:dyDescent="0.3">
      <c r="A17" s="55" t="s">
        <v>243</v>
      </c>
      <c r="B17" t="s">
        <v>643</v>
      </c>
    </row>
    <row r="18" spans="1:2" x14ac:dyDescent="0.3">
      <c r="A18" s="56" t="s">
        <v>310</v>
      </c>
      <c r="B18">
        <v>2.64</v>
      </c>
    </row>
    <row r="19" spans="1:2" x14ac:dyDescent="0.3">
      <c r="A19" s="56" t="s">
        <v>311</v>
      </c>
      <c r="B19">
        <v>4.96</v>
      </c>
    </row>
    <row r="20" spans="1:2" x14ac:dyDescent="0.3">
      <c r="A20" s="56" t="s">
        <v>312</v>
      </c>
      <c r="B20">
        <v>1.98</v>
      </c>
    </row>
    <row r="21" spans="1:2" x14ac:dyDescent="0.3">
      <c r="A21" s="56" t="s">
        <v>313</v>
      </c>
      <c r="B21">
        <v>-4</v>
      </c>
    </row>
    <row r="22" spans="1:2" x14ac:dyDescent="0.3">
      <c r="A22" s="56" t="s">
        <v>315</v>
      </c>
      <c r="B22">
        <v>-2.34</v>
      </c>
    </row>
    <row r="23" spans="1:2" x14ac:dyDescent="0.3">
      <c r="A23" s="56" t="s">
        <v>316</v>
      </c>
      <c r="B23">
        <v>-2.34</v>
      </c>
    </row>
    <row r="24" spans="1:2" x14ac:dyDescent="0.3">
      <c r="A24" s="56" t="s">
        <v>317</v>
      </c>
      <c r="B24">
        <v>-2</v>
      </c>
    </row>
    <row r="25" spans="1:2" x14ac:dyDescent="0.3">
      <c r="A25" s="56" t="s">
        <v>318</v>
      </c>
      <c r="B25">
        <v>1.32</v>
      </c>
    </row>
    <row r="26" spans="1:2" x14ac:dyDescent="0.3">
      <c r="A26" s="56" t="s">
        <v>319</v>
      </c>
      <c r="B26">
        <v>1.32</v>
      </c>
    </row>
    <row r="27" spans="1:2" x14ac:dyDescent="0.3">
      <c r="A27" s="56" t="s">
        <v>309</v>
      </c>
      <c r="B27">
        <v>1.5400000000000005</v>
      </c>
    </row>
  </sheetData>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A1194-2ACA-4D5A-B6F3-9719C6CDD14F}">
  <dimension ref="A1:Q43"/>
  <sheetViews>
    <sheetView workbookViewId="0"/>
  </sheetViews>
  <sheetFormatPr defaultRowHeight="14.4" x14ac:dyDescent="0.3"/>
  <cols>
    <col min="1" max="1" width="11.88671875" customWidth="1"/>
    <col min="2" max="2" width="10" bestFit="1" customWidth="1"/>
    <col min="3" max="3" width="10.109375" bestFit="1" customWidth="1"/>
    <col min="4" max="4" width="105.5546875" bestFit="1" customWidth="1"/>
    <col min="5" max="5" width="22.5546875" bestFit="1" customWidth="1"/>
    <col min="6" max="6" width="17.88671875" bestFit="1" customWidth="1"/>
    <col min="7" max="7" width="8.5546875" bestFit="1" customWidth="1"/>
    <col min="8" max="8" width="19.109375" bestFit="1" customWidth="1"/>
    <col min="9" max="9" width="23.109375" customWidth="1"/>
    <col min="10" max="10" width="19.88671875" bestFit="1" customWidth="1"/>
    <col min="11" max="11" width="22.88671875" bestFit="1" customWidth="1"/>
    <col min="12" max="12" width="14.33203125" bestFit="1" customWidth="1"/>
    <col min="13" max="13" width="9.109375" bestFit="1" customWidth="1"/>
    <col min="14" max="14" width="50.77734375" customWidth="1"/>
    <col min="15" max="15" width="56.5546875" bestFit="1" customWidth="1"/>
    <col min="16" max="16" width="174.44140625" bestFit="1" customWidth="1"/>
    <col min="17" max="17" width="22.88671875" bestFit="1" customWidth="1"/>
  </cols>
  <sheetData>
    <row r="1" spans="1:17" ht="14.4" customHeight="1" x14ac:dyDescent="0.3">
      <c r="A1" s="29" t="s">
        <v>10</v>
      </c>
      <c r="B1" s="30" t="s">
        <v>9</v>
      </c>
      <c r="C1" s="30" t="s">
        <v>72</v>
      </c>
      <c r="D1" s="30" t="s">
        <v>64</v>
      </c>
      <c r="E1" s="30" t="s">
        <v>71</v>
      </c>
      <c r="F1" s="30" t="s">
        <v>572</v>
      </c>
      <c r="G1" s="30" t="s">
        <v>239</v>
      </c>
      <c r="H1" s="30" t="s">
        <v>244</v>
      </c>
      <c r="I1" s="30" t="s">
        <v>240</v>
      </c>
      <c r="J1" s="30" t="s">
        <v>241</v>
      </c>
      <c r="K1" s="30" t="s">
        <v>242</v>
      </c>
      <c r="L1" s="31" t="s">
        <v>571</v>
      </c>
      <c r="M1" s="31" t="s">
        <v>487</v>
      </c>
      <c r="N1" s="31" t="s">
        <v>488</v>
      </c>
      <c r="O1" s="31" t="s">
        <v>384</v>
      </c>
      <c r="P1" s="31" t="s">
        <v>641</v>
      </c>
      <c r="Q1" s="30" t="s">
        <v>642</v>
      </c>
    </row>
    <row r="2" spans="1:17" ht="14.4" customHeight="1" x14ac:dyDescent="0.3">
      <c r="A2" s="38">
        <v>7</v>
      </c>
      <c r="B2" s="39" t="s">
        <v>0</v>
      </c>
      <c r="C2" s="40">
        <v>42248</v>
      </c>
      <c r="D2" s="39" t="s">
        <v>170</v>
      </c>
      <c r="E2" s="45" t="s">
        <v>121</v>
      </c>
      <c r="F2" s="45">
        <f>Serbia_Policies_Table[[#This Row],[Rating]]*Serbia_Policies_Table[[#This Row],[Impact Value]]</f>
        <v>3</v>
      </c>
      <c r="G2" s="45">
        <f>SUM(Serbia_Policies_Table[[#This Row],[Impact on Country]:[Impact on EU Relations]])</f>
        <v>3</v>
      </c>
      <c r="H2" s="39">
        <v>1</v>
      </c>
      <c r="I2" s="39">
        <v>0</v>
      </c>
      <c r="J2" s="39">
        <v>1</v>
      </c>
      <c r="K2" s="39">
        <v>1</v>
      </c>
      <c r="L2" s="62" cm="1">
        <f t="array" ref="L2">_xlfn.SWITCH(Serbia_Policies_Table[[#This Row],[Impact]], "High", 1, "Medium", 0.66, "Low", 0.33)</f>
        <v>1</v>
      </c>
      <c r="M2" s="62" t="s">
        <v>489</v>
      </c>
      <c r="N2" s="62" t="s">
        <v>573</v>
      </c>
      <c r="O2" s="62" t="s">
        <v>404</v>
      </c>
      <c r="P2" s="17" t="s">
        <v>169</v>
      </c>
      <c r="Q2" s="83">
        <v>4</v>
      </c>
    </row>
    <row r="3" spans="1:17" ht="14.4" customHeight="1" x14ac:dyDescent="0.3">
      <c r="A3" s="38">
        <v>7</v>
      </c>
      <c r="B3" s="39" t="s">
        <v>0</v>
      </c>
      <c r="C3" s="40">
        <v>42262</v>
      </c>
      <c r="D3" s="39" t="s">
        <v>205</v>
      </c>
      <c r="E3" s="45" t="s">
        <v>120</v>
      </c>
      <c r="F3" s="45">
        <f>Serbia_Policies_Table[[#This Row],[Rating]]*Serbia_Policies_Table[[#This Row],[Impact Value]]</f>
        <v>-4</v>
      </c>
      <c r="G3" s="45">
        <f>SUM(Serbia_Policies_Table[[#This Row],[Impact on Country]:[Impact on EU Relations]])</f>
        <v>-4</v>
      </c>
      <c r="H3" s="39">
        <v>-1</v>
      </c>
      <c r="I3" s="39">
        <v>-1</v>
      </c>
      <c r="J3" s="39">
        <v>-1</v>
      </c>
      <c r="K3" s="39">
        <v>-1</v>
      </c>
      <c r="L3" s="62" cm="1">
        <f t="array" ref="L3">_xlfn.SWITCH(Serbia_Policies_Table[[#This Row],[Impact]], "High", 1, "Medium", 0.66, "Low", 0.33)</f>
        <v>1</v>
      </c>
      <c r="M3" s="62" t="s">
        <v>489</v>
      </c>
      <c r="N3" s="62" t="s">
        <v>574</v>
      </c>
      <c r="O3" s="62" t="s">
        <v>386</v>
      </c>
      <c r="P3" s="17" t="s">
        <v>204</v>
      </c>
      <c r="Q3" s="62">
        <v>7</v>
      </c>
    </row>
    <row r="4" spans="1:17" ht="14.4" customHeight="1" x14ac:dyDescent="0.3">
      <c r="A4" s="38">
        <v>7</v>
      </c>
      <c r="B4" s="39" t="s">
        <v>0</v>
      </c>
      <c r="C4" s="40">
        <v>42265</v>
      </c>
      <c r="D4" s="39" t="s">
        <v>172</v>
      </c>
      <c r="E4" s="45" t="s">
        <v>122</v>
      </c>
      <c r="F4" s="45">
        <f>Serbia_Policies_Table[[#This Row],[Rating]]*Serbia_Policies_Table[[#This Row],[Impact Value]]</f>
        <v>4</v>
      </c>
      <c r="G4" s="45">
        <f>SUM(Serbia_Policies_Table[[#This Row],[Impact on Country]:[Impact on EU Relations]])</f>
        <v>4</v>
      </c>
      <c r="H4" s="39">
        <v>1</v>
      </c>
      <c r="I4" s="39">
        <v>1</v>
      </c>
      <c r="J4" s="39">
        <v>1</v>
      </c>
      <c r="K4" s="39">
        <v>1</v>
      </c>
      <c r="L4" s="62" cm="1">
        <f t="array" ref="L4">_xlfn.SWITCH(Serbia_Policies_Table[[#This Row],[Impact]], "High", 1, "Medium", 0.66, "Low", 0.33)</f>
        <v>1</v>
      </c>
      <c r="M4" s="62" t="s">
        <v>489</v>
      </c>
      <c r="N4" s="62" t="s">
        <v>575</v>
      </c>
      <c r="O4" s="62" t="s">
        <v>419</v>
      </c>
      <c r="P4" s="17" t="s">
        <v>171</v>
      </c>
      <c r="Q4" s="62">
        <v>4</v>
      </c>
    </row>
    <row r="5" spans="1:17" ht="14.4" customHeight="1" x14ac:dyDescent="0.3">
      <c r="A5" s="38">
        <v>7</v>
      </c>
      <c r="B5" s="39" t="s">
        <v>0</v>
      </c>
      <c r="C5" s="40">
        <v>42272</v>
      </c>
      <c r="D5" s="39" t="s">
        <v>203</v>
      </c>
      <c r="E5" s="45" t="s">
        <v>121</v>
      </c>
      <c r="F5" s="45">
        <f>Serbia_Policies_Table[[#This Row],[Rating]]*Serbia_Policies_Table[[#This Row],[Impact Value]]</f>
        <v>-1.98</v>
      </c>
      <c r="G5" s="45">
        <f>SUM(Serbia_Policies_Table[[#This Row],[Impact on Country]:[Impact on EU Relations]])</f>
        <v>-3</v>
      </c>
      <c r="H5" s="39">
        <v>-1</v>
      </c>
      <c r="I5" s="39">
        <v>-1</v>
      </c>
      <c r="J5" s="39">
        <v>0</v>
      </c>
      <c r="K5" s="39">
        <v>-1</v>
      </c>
      <c r="L5" s="62" cm="1">
        <f t="array" ref="L5">_xlfn.SWITCH(Serbia_Policies_Table[[#This Row],[Impact]], "High", 1, "Medium", 0.66, "Low", 0.33)</f>
        <v>0.66</v>
      </c>
      <c r="M5" s="62" t="s">
        <v>490</v>
      </c>
      <c r="N5" s="62" t="s">
        <v>576</v>
      </c>
      <c r="O5" s="62" t="s">
        <v>391</v>
      </c>
      <c r="P5" s="17" t="s">
        <v>202</v>
      </c>
      <c r="Q5" s="62">
        <v>6</v>
      </c>
    </row>
    <row r="6" spans="1:17" ht="14.4" customHeight="1" x14ac:dyDescent="0.3">
      <c r="A6" s="38">
        <v>7</v>
      </c>
      <c r="B6" s="39" t="s">
        <v>0</v>
      </c>
      <c r="C6" s="40">
        <v>42296</v>
      </c>
      <c r="D6" s="39" t="s">
        <v>207</v>
      </c>
      <c r="E6" s="45" t="s">
        <v>120</v>
      </c>
      <c r="F6" s="45">
        <f>Serbia_Policies_Table[[#This Row],[Rating]]*Serbia_Policies_Table[[#This Row],[Impact Value]]</f>
        <v>-3</v>
      </c>
      <c r="G6" s="45">
        <f>SUM(Serbia_Policies_Table[[#This Row],[Impact on Country]:[Impact on EU Relations]])</f>
        <v>-3</v>
      </c>
      <c r="H6" s="39">
        <v>-1</v>
      </c>
      <c r="I6" s="39">
        <v>-1</v>
      </c>
      <c r="J6" s="39">
        <v>-1</v>
      </c>
      <c r="K6" s="39">
        <v>0</v>
      </c>
      <c r="L6" s="62" cm="1">
        <f t="array" ref="L6">_xlfn.SWITCH(Serbia_Policies_Table[[#This Row],[Impact]], "High", 1, "Medium", 0.66, "Low", 0.33)</f>
        <v>1</v>
      </c>
      <c r="M6" s="62" t="s">
        <v>489</v>
      </c>
      <c r="N6" s="62" t="s">
        <v>577</v>
      </c>
      <c r="O6" s="62" t="s">
        <v>386</v>
      </c>
      <c r="P6" s="17" t="s">
        <v>206</v>
      </c>
      <c r="Q6" s="62">
        <v>6</v>
      </c>
    </row>
    <row r="7" spans="1:17" ht="14.4" customHeight="1" x14ac:dyDescent="0.3">
      <c r="A7" s="38">
        <v>7</v>
      </c>
      <c r="B7" s="39" t="s">
        <v>0</v>
      </c>
      <c r="C7" s="40">
        <v>42311</v>
      </c>
      <c r="D7" s="39" t="s">
        <v>193</v>
      </c>
      <c r="E7" s="45" t="s">
        <v>122</v>
      </c>
      <c r="F7" s="45">
        <f>Serbia_Policies_Table[[#This Row],[Rating]]*Serbia_Policies_Table[[#This Row],[Impact Value]]</f>
        <v>1.98</v>
      </c>
      <c r="G7" s="45">
        <f>SUM(Serbia_Policies_Table[[#This Row],[Impact on Country]:[Impact on EU Relations]])</f>
        <v>3</v>
      </c>
      <c r="H7" s="39">
        <v>1</v>
      </c>
      <c r="I7" s="39">
        <v>1</v>
      </c>
      <c r="J7" s="39">
        <v>0</v>
      </c>
      <c r="K7" s="39">
        <v>1</v>
      </c>
      <c r="L7" s="62" cm="1">
        <f t="array" ref="L7">_xlfn.SWITCH(Serbia_Policies_Table[[#This Row],[Impact]], "High", 1, "Medium", 0.66, "Low", 0.33)</f>
        <v>0.66</v>
      </c>
      <c r="M7" s="62" t="s">
        <v>490</v>
      </c>
      <c r="N7" s="62" t="s">
        <v>578</v>
      </c>
      <c r="O7" s="62" t="s">
        <v>463</v>
      </c>
      <c r="P7" s="17" t="s">
        <v>192</v>
      </c>
      <c r="Q7" s="62">
        <v>4</v>
      </c>
    </row>
    <row r="8" spans="1:17" ht="14.4" customHeight="1" x14ac:dyDescent="0.3">
      <c r="A8" s="38">
        <v>7</v>
      </c>
      <c r="B8" s="39" t="s">
        <v>0</v>
      </c>
      <c r="C8" s="40">
        <v>43101</v>
      </c>
      <c r="D8" s="39" t="s">
        <v>197</v>
      </c>
      <c r="E8" s="45" t="s">
        <v>120</v>
      </c>
      <c r="F8" s="45">
        <f>Serbia_Policies_Table[[#This Row],[Rating]]*Serbia_Policies_Table[[#This Row],[Impact Value]]</f>
        <v>0.33</v>
      </c>
      <c r="G8" s="45">
        <f>SUM(Serbia_Policies_Table[[#This Row],[Impact on Country]:[Impact on EU Relations]])</f>
        <v>1</v>
      </c>
      <c r="H8" s="39">
        <v>1</v>
      </c>
      <c r="I8" s="39">
        <v>0</v>
      </c>
      <c r="J8" s="39">
        <v>-1</v>
      </c>
      <c r="K8" s="39">
        <v>1</v>
      </c>
      <c r="L8" s="62" cm="1">
        <f t="array" ref="L8">_xlfn.SWITCH(Serbia_Policies_Table[[#This Row],[Impact]], "High", 1, "Medium", 0.66, "Low", 0.33)</f>
        <v>0.33</v>
      </c>
      <c r="M8" s="62" t="s">
        <v>491</v>
      </c>
      <c r="N8" s="62" t="s">
        <v>579</v>
      </c>
      <c r="O8" s="62" t="s">
        <v>413</v>
      </c>
      <c r="P8" s="17" t="s">
        <v>196</v>
      </c>
      <c r="Q8" s="62">
        <v>6</v>
      </c>
    </row>
    <row r="9" spans="1:17" ht="14.4" customHeight="1" x14ac:dyDescent="0.3">
      <c r="A9" s="38">
        <v>7</v>
      </c>
      <c r="B9" s="39" t="s">
        <v>0</v>
      </c>
      <c r="C9" s="40">
        <v>43145</v>
      </c>
      <c r="D9" s="39" t="s">
        <v>195</v>
      </c>
      <c r="E9" s="45" t="s">
        <v>122</v>
      </c>
      <c r="F9" s="45">
        <f>Serbia_Policies_Table[[#This Row],[Rating]]*Serbia_Policies_Table[[#This Row],[Impact Value]]</f>
        <v>1.98</v>
      </c>
      <c r="G9" s="45">
        <f>SUM(Serbia_Policies_Table[[#This Row],[Impact on Country]:[Impact on EU Relations]])</f>
        <v>3</v>
      </c>
      <c r="H9" s="39">
        <v>1</v>
      </c>
      <c r="I9" s="39">
        <v>0</v>
      </c>
      <c r="J9" s="39">
        <v>1</v>
      </c>
      <c r="K9" s="39">
        <v>1</v>
      </c>
      <c r="L9" s="62" cm="1">
        <f t="array" ref="L9">_xlfn.SWITCH(Serbia_Policies_Table[[#This Row],[Impact]], "High", 1, "Medium", 0.66, "Low", 0.33)</f>
        <v>0.66</v>
      </c>
      <c r="M9" s="62" t="s">
        <v>490</v>
      </c>
      <c r="N9" s="62" t="s">
        <v>580</v>
      </c>
      <c r="O9" s="62" t="s">
        <v>414</v>
      </c>
      <c r="P9" s="17" t="s">
        <v>194</v>
      </c>
      <c r="Q9" s="62">
        <v>3</v>
      </c>
    </row>
    <row r="10" spans="1:17" ht="14.4" customHeight="1" x14ac:dyDescent="0.3">
      <c r="A10" s="38">
        <v>7</v>
      </c>
      <c r="B10" s="39" t="s">
        <v>0</v>
      </c>
      <c r="C10" s="40">
        <v>43181</v>
      </c>
      <c r="D10" s="39" t="s">
        <v>173</v>
      </c>
      <c r="E10" s="45" t="s">
        <v>123</v>
      </c>
      <c r="F10" s="45">
        <f>Serbia_Policies_Table[[#This Row],[Rating]]*Serbia_Policies_Table[[#This Row],[Impact Value]]</f>
        <v>3</v>
      </c>
      <c r="G10" s="45">
        <f>SUM(Serbia_Policies_Table[[#This Row],[Impact on Country]:[Impact on EU Relations]])</f>
        <v>3</v>
      </c>
      <c r="H10" s="39">
        <v>1</v>
      </c>
      <c r="I10" s="39">
        <v>0</v>
      </c>
      <c r="J10" s="39">
        <v>1</v>
      </c>
      <c r="K10" s="39">
        <v>1</v>
      </c>
      <c r="L10" s="62" cm="1">
        <f t="array" ref="L10">_xlfn.SWITCH(Serbia_Policies_Table[[#This Row],[Impact]], "High", 1, "Medium", 0.66, "Low", 0.33)</f>
        <v>1</v>
      </c>
      <c r="M10" s="62" t="s">
        <v>489</v>
      </c>
      <c r="N10" s="62" t="s">
        <v>581</v>
      </c>
      <c r="O10" s="62" t="s">
        <v>408</v>
      </c>
      <c r="P10" s="17" t="s">
        <v>174</v>
      </c>
      <c r="Q10" s="62">
        <v>3</v>
      </c>
    </row>
    <row r="11" spans="1:17" ht="14.4" customHeight="1" x14ac:dyDescent="0.3">
      <c r="A11" s="38">
        <v>7</v>
      </c>
      <c r="B11" s="39" t="s">
        <v>0</v>
      </c>
      <c r="C11" s="40">
        <v>43445</v>
      </c>
      <c r="D11" s="39" t="s">
        <v>176</v>
      </c>
      <c r="E11" s="45" t="s">
        <v>123</v>
      </c>
      <c r="F11" s="45">
        <f>Serbia_Policies_Table[[#This Row],[Rating]]*Serbia_Policies_Table[[#This Row],[Impact Value]]</f>
        <v>1.98</v>
      </c>
      <c r="G11" s="45">
        <f>SUM(Serbia_Policies_Table[[#This Row],[Impact on Country]:[Impact on EU Relations]])</f>
        <v>3</v>
      </c>
      <c r="H11" s="39">
        <v>1</v>
      </c>
      <c r="I11" s="39">
        <v>0</v>
      </c>
      <c r="J11" s="39">
        <v>1</v>
      </c>
      <c r="K11" s="39">
        <v>1</v>
      </c>
      <c r="L11" s="62" cm="1">
        <f t="array" ref="L11">_xlfn.SWITCH(Serbia_Policies_Table[[#This Row],[Impact]], "High", 1, "Medium", 0.66, "Low", 0.33)</f>
        <v>0.66</v>
      </c>
      <c r="M11" s="62" t="s">
        <v>490</v>
      </c>
      <c r="N11" s="62" t="s">
        <v>582</v>
      </c>
      <c r="O11" s="62" t="s">
        <v>408</v>
      </c>
      <c r="P11" s="17" t="s">
        <v>175</v>
      </c>
      <c r="Q11" s="62">
        <v>3</v>
      </c>
    </row>
    <row r="12" spans="1:17" ht="14.4" customHeight="1" x14ac:dyDescent="0.3">
      <c r="A12" s="38">
        <v>7</v>
      </c>
      <c r="B12" s="39" t="s">
        <v>0</v>
      </c>
      <c r="C12" s="40">
        <v>43888</v>
      </c>
      <c r="D12" s="39" t="s">
        <v>178</v>
      </c>
      <c r="E12" s="45" t="s">
        <v>123</v>
      </c>
      <c r="F12" s="45">
        <f>Serbia_Policies_Table[[#This Row],[Rating]]*Serbia_Policies_Table[[#This Row],[Impact Value]]</f>
        <v>0.66</v>
      </c>
      <c r="G12" s="45">
        <f>SUM(Serbia_Policies_Table[[#This Row],[Impact on Country]:[Impact on EU Relations]])</f>
        <v>2</v>
      </c>
      <c r="H12" s="39">
        <v>1</v>
      </c>
      <c r="I12" s="39">
        <v>0</v>
      </c>
      <c r="J12" s="39">
        <v>0</v>
      </c>
      <c r="K12" s="39">
        <v>1</v>
      </c>
      <c r="L12" s="62" cm="1">
        <f t="array" ref="L12">_xlfn.SWITCH(Serbia_Policies_Table[[#This Row],[Impact]], "High", 1, "Medium", 0.66, "Low", 0.33)</f>
        <v>0.33</v>
      </c>
      <c r="M12" s="62" t="s">
        <v>491</v>
      </c>
      <c r="N12" s="62" t="s">
        <v>583</v>
      </c>
      <c r="O12" s="62" t="s">
        <v>415</v>
      </c>
      <c r="P12" s="17" t="s">
        <v>177</v>
      </c>
      <c r="Q12" s="62">
        <v>4</v>
      </c>
    </row>
    <row r="13" spans="1:17" ht="14.4" customHeight="1" x14ac:dyDescent="0.3">
      <c r="A13" s="38">
        <v>7</v>
      </c>
      <c r="B13" s="39" t="s">
        <v>0</v>
      </c>
      <c r="C13" s="40">
        <v>43888</v>
      </c>
      <c r="D13" s="39" t="s">
        <v>246</v>
      </c>
      <c r="E13" s="45" t="s">
        <v>123</v>
      </c>
      <c r="F13" s="45">
        <f>Serbia_Policies_Table[[#This Row],[Rating]]*Serbia_Policies_Table[[#This Row],[Impact Value]]</f>
        <v>0.66</v>
      </c>
      <c r="G13" s="45">
        <f>SUM(Serbia_Policies_Table[[#This Row],[Impact on Country]:[Impact on EU Relations]])</f>
        <v>2</v>
      </c>
      <c r="H13" s="39">
        <v>1</v>
      </c>
      <c r="I13" s="39">
        <v>0</v>
      </c>
      <c r="J13" s="39">
        <v>0</v>
      </c>
      <c r="K13" s="39">
        <v>1</v>
      </c>
      <c r="L13" s="62" cm="1">
        <f t="array" ref="L13">_xlfn.SWITCH(Serbia_Policies_Table[[#This Row],[Impact]], "High", 1, "Medium", 0.66, "Low", 0.33)</f>
        <v>0.33</v>
      </c>
      <c r="M13" s="62" t="s">
        <v>491</v>
      </c>
      <c r="N13" s="62" t="s">
        <v>584</v>
      </c>
      <c r="O13" s="62" t="s">
        <v>477</v>
      </c>
      <c r="P13" s="17" t="s">
        <v>183</v>
      </c>
      <c r="Q13" s="62">
        <v>3</v>
      </c>
    </row>
    <row r="14" spans="1:17" ht="14.4" customHeight="1" x14ac:dyDescent="0.3">
      <c r="A14" s="38">
        <v>7</v>
      </c>
      <c r="B14" s="39" t="s">
        <v>0</v>
      </c>
      <c r="C14" s="40">
        <v>43891</v>
      </c>
      <c r="D14" s="39" t="s">
        <v>180</v>
      </c>
      <c r="E14" s="45" t="s">
        <v>121</v>
      </c>
      <c r="F14" s="45">
        <f>Serbia_Policies_Table[[#This Row],[Rating]]*Serbia_Policies_Table[[#This Row],[Impact Value]]</f>
        <v>-1.32</v>
      </c>
      <c r="G14" s="45">
        <f>SUM(Serbia_Policies_Table[[#This Row],[Impact on Country]:[Impact on EU Relations]])</f>
        <v>-2</v>
      </c>
      <c r="H14" s="39">
        <v>0</v>
      </c>
      <c r="I14" s="39">
        <v>-1</v>
      </c>
      <c r="J14" s="39">
        <v>-1</v>
      </c>
      <c r="K14" s="39">
        <v>0</v>
      </c>
      <c r="L14" s="62" cm="1">
        <f t="array" ref="L14">_xlfn.SWITCH(Serbia_Policies_Table[[#This Row],[Impact]], "High", 1, "Medium", 0.66, "Low", 0.33)</f>
        <v>0.66</v>
      </c>
      <c r="M14" s="62" t="s">
        <v>490</v>
      </c>
      <c r="N14" s="62" t="s">
        <v>585</v>
      </c>
      <c r="O14" s="62" t="s">
        <v>416</v>
      </c>
      <c r="P14" s="17" t="s">
        <v>179</v>
      </c>
      <c r="Q14" s="62">
        <v>6</v>
      </c>
    </row>
    <row r="15" spans="1:17" ht="14.4" customHeight="1" x14ac:dyDescent="0.3">
      <c r="A15" s="38">
        <v>7</v>
      </c>
      <c r="B15" s="39" t="s">
        <v>0</v>
      </c>
      <c r="C15" s="40">
        <v>43907</v>
      </c>
      <c r="D15" s="39" t="s">
        <v>182</v>
      </c>
      <c r="E15" s="45" t="s">
        <v>121</v>
      </c>
      <c r="F15" s="45">
        <f>Serbia_Policies_Table[[#This Row],[Rating]]*Serbia_Policies_Table[[#This Row],[Impact Value]]</f>
        <v>-0.33</v>
      </c>
      <c r="G15" s="45">
        <f>SUM(Serbia_Policies_Table[[#This Row],[Impact on Country]:[Impact on EU Relations]])</f>
        <v>-1</v>
      </c>
      <c r="H15" s="39">
        <v>0</v>
      </c>
      <c r="I15" s="39">
        <v>0</v>
      </c>
      <c r="J15" s="39">
        <v>-1</v>
      </c>
      <c r="K15" s="39">
        <v>0</v>
      </c>
      <c r="L15" s="62" cm="1">
        <f t="array" ref="L15">_xlfn.SWITCH(Serbia_Policies_Table[[#This Row],[Impact]], "High", 1, "Medium", 0.66, "Low", 0.33)</f>
        <v>0.33</v>
      </c>
      <c r="M15" s="62" t="s">
        <v>491</v>
      </c>
      <c r="N15" s="62" t="s">
        <v>586</v>
      </c>
      <c r="O15" s="62" t="s">
        <v>397</v>
      </c>
      <c r="P15" s="17" t="s">
        <v>181</v>
      </c>
      <c r="Q15" s="62">
        <v>4</v>
      </c>
    </row>
    <row r="16" spans="1:17" ht="14.4" customHeight="1" x14ac:dyDescent="0.3">
      <c r="A16" s="38">
        <v>7</v>
      </c>
      <c r="B16" s="39" t="s">
        <v>0</v>
      </c>
      <c r="C16" s="40">
        <v>44985</v>
      </c>
      <c r="D16" s="39" t="s">
        <v>209</v>
      </c>
      <c r="E16" s="45" t="s">
        <v>123</v>
      </c>
      <c r="F16" s="45">
        <f>Serbia_Policies_Table[[#This Row],[Rating]]*Serbia_Policies_Table[[#This Row],[Impact Value]]</f>
        <v>1.98</v>
      </c>
      <c r="G16" s="45">
        <f>SUM(Serbia_Policies_Table[[#This Row],[Impact on Country]:[Impact on EU Relations]])</f>
        <v>3</v>
      </c>
      <c r="H16" s="39">
        <v>1</v>
      </c>
      <c r="I16" s="39">
        <v>0</v>
      </c>
      <c r="J16" s="39">
        <v>1</v>
      </c>
      <c r="K16" s="39">
        <v>1</v>
      </c>
      <c r="L16" s="62" cm="1">
        <f t="array" ref="L16">_xlfn.SWITCH(Serbia_Policies_Table[[#This Row],[Impact]], "High", 1, "Medium", 0.66, "Low", 0.33)</f>
        <v>0.66</v>
      </c>
      <c r="M16" s="62" t="s">
        <v>490</v>
      </c>
      <c r="N16" s="62" t="s">
        <v>587</v>
      </c>
      <c r="O16" s="62" t="s">
        <v>401</v>
      </c>
      <c r="P16" s="17" t="s">
        <v>208</v>
      </c>
      <c r="Q16" s="62">
        <v>4</v>
      </c>
    </row>
    <row r="17" spans="1:17" ht="14.4" customHeight="1" x14ac:dyDescent="0.3">
      <c r="A17" s="38">
        <v>7</v>
      </c>
      <c r="B17" s="39" t="s">
        <v>0</v>
      </c>
      <c r="C17" s="40">
        <v>45001</v>
      </c>
      <c r="D17" s="39" t="s">
        <v>212</v>
      </c>
      <c r="E17" s="45" t="s">
        <v>122</v>
      </c>
      <c r="F17" s="45">
        <f>Serbia_Policies_Table[[#This Row],[Rating]]*Serbia_Policies_Table[[#This Row],[Impact Value]]</f>
        <v>0.66</v>
      </c>
      <c r="G17" s="45">
        <f>SUM(Serbia_Policies_Table[[#This Row],[Impact on Country]:[Impact on EU Relations]])</f>
        <v>2</v>
      </c>
      <c r="H17" s="39">
        <v>1</v>
      </c>
      <c r="I17" s="39">
        <v>0</v>
      </c>
      <c r="J17" s="39">
        <v>0</v>
      </c>
      <c r="K17" s="39">
        <v>1</v>
      </c>
      <c r="L17" s="62" cm="1">
        <f t="array" ref="L17">_xlfn.SWITCH(Serbia_Policies_Table[[#This Row],[Impact]], "High", 1, "Medium", 0.66, "Low", 0.33)</f>
        <v>0.33</v>
      </c>
      <c r="M17" s="62" t="s">
        <v>491</v>
      </c>
      <c r="N17" s="62" t="s">
        <v>588</v>
      </c>
      <c r="O17" s="62" t="s">
        <v>412</v>
      </c>
      <c r="P17" s="17" t="s">
        <v>213</v>
      </c>
      <c r="Q17" s="62">
        <v>5</v>
      </c>
    </row>
    <row r="18" spans="1:17" ht="14.4" customHeight="1" x14ac:dyDescent="0.3">
      <c r="A18" s="38">
        <v>7</v>
      </c>
      <c r="B18" s="39" t="s">
        <v>0</v>
      </c>
      <c r="C18" s="40">
        <v>45227</v>
      </c>
      <c r="D18" s="39" t="s">
        <v>189</v>
      </c>
      <c r="E18" s="45" t="s">
        <v>121</v>
      </c>
      <c r="F18" s="45">
        <f>Serbia_Policies_Table[[#This Row],[Rating]]*Serbia_Policies_Table[[#This Row],[Impact Value]]</f>
        <v>0</v>
      </c>
      <c r="G18" s="45">
        <f>SUM(Serbia_Policies_Table[[#This Row],[Impact on Country]:[Impact on EU Relations]])</f>
        <v>0</v>
      </c>
      <c r="H18" s="39">
        <v>1</v>
      </c>
      <c r="I18" s="39">
        <v>0</v>
      </c>
      <c r="J18" s="39">
        <v>-1</v>
      </c>
      <c r="K18" s="39">
        <v>0</v>
      </c>
      <c r="L18" s="62" cm="1">
        <f t="array" ref="L18">_xlfn.SWITCH(Serbia_Policies_Table[[#This Row],[Impact]], "High", 1, "Medium", 0.66, "Low", 0.33)</f>
        <v>0.33</v>
      </c>
      <c r="M18" s="62" t="s">
        <v>491</v>
      </c>
      <c r="N18" s="62" t="s">
        <v>589</v>
      </c>
      <c r="O18" s="62" t="s">
        <v>393</v>
      </c>
      <c r="P18" s="17" t="s">
        <v>188</v>
      </c>
      <c r="Q18" s="62">
        <v>7</v>
      </c>
    </row>
    <row r="19" spans="1:17" ht="14.4" customHeight="1" x14ac:dyDescent="0.3">
      <c r="A19" s="38">
        <v>7</v>
      </c>
      <c r="B19" s="39" t="s">
        <v>0</v>
      </c>
      <c r="C19" s="40">
        <v>45254</v>
      </c>
      <c r="D19" s="39" t="s">
        <v>201</v>
      </c>
      <c r="E19" s="45" t="s">
        <v>121</v>
      </c>
      <c r="F19" s="45">
        <f>Serbia_Policies_Table[[#This Row],[Rating]]*Serbia_Policies_Table[[#This Row],[Impact Value]]</f>
        <v>-3</v>
      </c>
      <c r="G19" s="45">
        <f>SUM(Serbia_Policies_Table[[#This Row],[Impact on Country]:[Impact on EU Relations]])</f>
        <v>-3</v>
      </c>
      <c r="H19" s="39">
        <v>-1</v>
      </c>
      <c r="I19" s="39">
        <v>0</v>
      </c>
      <c r="J19" s="39">
        <v>-1</v>
      </c>
      <c r="K19" s="39">
        <v>-1</v>
      </c>
      <c r="L19" s="62" cm="1">
        <f t="array" ref="L19">_xlfn.SWITCH(Serbia_Policies_Table[[#This Row],[Impact]], "High", 1, "Medium", 0.66, "Low", 0.33)</f>
        <v>1</v>
      </c>
      <c r="M19" s="62" t="s">
        <v>489</v>
      </c>
      <c r="N19" s="62" t="s">
        <v>590</v>
      </c>
      <c r="O19" s="62" t="s">
        <v>392</v>
      </c>
      <c r="P19" s="17" t="s">
        <v>200</v>
      </c>
      <c r="Q19" s="62">
        <v>4</v>
      </c>
    </row>
    <row r="20" spans="1:17" ht="14.4" customHeight="1" x14ac:dyDescent="0.3">
      <c r="A20" s="38">
        <v>7</v>
      </c>
      <c r="B20" s="39" t="s">
        <v>0</v>
      </c>
      <c r="C20" s="40">
        <v>45320</v>
      </c>
      <c r="D20" s="39" t="s">
        <v>191</v>
      </c>
      <c r="E20" s="45" t="s">
        <v>123</v>
      </c>
      <c r="F20" s="45">
        <f>Serbia_Policies_Table[[#This Row],[Rating]]*Serbia_Policies_Table[[#This Row],[Impact Value]]</f>
        <v>0.66</v>
      </c>
      <c r="G20" s="45">
        <f>SUM(Serbia_Policies_Table[[#This Row],[Impact on Country]:[Impact on EU Relations]])</f>
        <v>2</v>
      </c>
      <c r="H20" s="39">
        <v>1</v>
      </c>
      <c r="I20" s="39">
        <v>0</v>
      </c>
      <c r="J20" s="39">
        <v>0</v>
      </c>
      <c r="K20" s="39">
        <v>1</v>
      </c>
      <c r="L20" s="62" cm="1">
        <f t="array" ref="L20">_xlfn.SWITCH(Serbia_Policies_Table[[#This Row],[Impact]], "High", 1, "Medium", 0.66, "Low", 0.33)</f>
        <v>0.33</v>
      </c>
      <c r="M20" s="62" t="s">
        <v>491</v>
      </c>
      <c r="N20" s="62" t="s">
        <v>591</v>
      </c>
      <c r="O20" s="62" t="s">
        <v>417</v>
      </c>
      <c r="P20" s="17" t="s">
        <v>190</v>
      </c>
      <c r="Q20" s="62">
        <v>3</v>
      </c>
    </row>
    <row r="21" spans="1:17" ht="14.4" customHeight="1" x14ac:dyDescent="0.3">
      <c r="A21" s="38">
        <v>7</v>
      </c>
      <c r="B21" s="39" t="s">
        <v>0</v>
      </c>
      <c r="C21" s="40">
        <v>45344</v>
      </c>
      <c r="D21" s="39" t="s">
        <v>199</v>
      </c>
      <c r="E21" s="45" t="s">
        <v>121</v>
      </c>
      <c r="F21" s="45">
        <f>Serbia_Policies_Table[[#This Row],[Rating]]*Serbia_Policies_Table[[#This Row],[Impact Value]]</f>
        <v>-4</v>
      </c>
      <c r="G21" s="45">
        <f>SUM(Serbia_Policies_Table[[#This Row],[Impact on Country]:[Impact on EU Relations]])</f>
        <v>-4</v>
      </c>
      <c r="H21" s="39">
        <v>-1</v>
      </c>
      <c r="I21" s="39">
        <v>-1</v>
      </c>
      <c r="J21" s="39">
        <v>-1</v>
      </c>
      <c r="K21" s="39">
        <v>-1</v>
      </c>
      <c r="L21" s="62" cm="1">
        <f t="array" ref="L21">_xlfn.SWITCH(Serbia_Policies_Table[[#This Row],[Impact]], "High", 1, "Medium", 0.66, "Low", 0.33)</f>
        <v>1</v>
      </c>
      <c r="M21" s="62" t="s">
        <v>489</v>
      </c>
      <c r="N21" s="62" t="s">
        <v>592</v>
      </c>
      <c r="O21" s="62" t="s">
        <v>386</v>
      </c>
      <c r="P21" s="17" t="s">
        <v>198</v>
      </c>
      <c r="Q21" s="62">
        <v>6</v>
      </c>
    </row>
    <row r="22" spans="1:17" ht="14.4" customHeight="1" x14ac:dyDescent="0.3">
      <c r="A22" s="38">
        <v>7</v>
      </c>
      <c r="B22" s="39" t="s">
        <v>0</v>
      </c>
      <c r="C22" s="40">
        <v>45352</v>
      </c>
      <c r="D22" s="39" t="s">
        <v>210</v>
      </c>
      <c r="E22" s="45" t="s">
        <v>123</v>
      </c>
      <c r="F22" s="45">
        <f>Serbia_Policies_Table[[#This Row],[Rating]]*Serbia_Policies_Table[[#This Row],[Impact Value]]</f>
        <v>1.98</v>
      </c>
      <c r="G22" s="45">
        <f>SUM(Serbia_Policies_Table[[#This Row],[Impact on Country]:[Impact on EU Relations]])</f>
        <v>3</v>
      </c>
      <c r="H22" s="39">
        <v>1</v>
      </c>
      <c r="I22" s="39">
        <v>0</v>
      </c>
      <c r="J22" s="39">
        <v>1</v>
      </c>
      <c r="K22" s="39">
        <v>1</v>
      </c>
      <c r="L22" s="62" cm="1">
        <f t="array" ref="L22">_xlfn.SWITCH(Serbia_Policies_Table[[#This Row],[Impact]], "High", 1, "Medium", 0.66, "Low", 0.33)</f>
        <v>0.66</v>
      </c>
      <c r="M22" s="62" t="s">
        <v>490</v>
      </c>
      <c r="N22" s="62" t="s">
        <v>593</v>
      </c>
      <c r="O22" s="62" t="s">
        <v>401</v>
      </c>
      <c r="P22" s="17" t="s">
        <v>211</v>
      </c>
      <c r="Q22" s="62">
        <v>3</v>
      </c>
    </row>
    <row r="23" spans="1:17" ht="14.4" customHeight="1" x14ac:dyDescent="0.3">
      <c r="A23" s="38">
        <v>7</v>
      </c>
      <c r="B23" s="39" t="s">
        <v>0</v>
      </c>
      <c r="C23" s="40">
        <v>45468</v>
      </c>
      <c r="D23" s="39" t="s">
        <v>185</v>
      </c>
      <c r="E23" s="45" t="s">
        <v>122</v>
      </c>
      <c r="F23" s="45">
        <f>Serbia_Policies_Table[[#This Row],[Rating]]*Serbia_Policies_Table[[#This Row],[Impact Value]]</f>
        <v>1.32</v>
      </c>
      <c r="G23" s="45">
        <f>SUM(Serbia_Policies_Table[[#This Row],[Impact on Country]:[Impact on EU Relations]])</f>
        <v>2</v>
      </c>
      <c r="H23" s="39">
        <v>1</v>
      </c>
      <c r="I23" s="39">
        <v>1</v>
      </c>
      <c r="J23" s="39">
        <v>-1</v>
      </c>
      <c r="K23" s="39">
        <v>1</v>
      </c>
      <c r="L23" s="62" cm="1">
        <f t="array" ref="L23">_xlfn.SWITCH(Serbia_Policies_Table[[#This Row],[Impact]], "High", 1, "Medium", 0.66, "Low", 0.33)</f>
        <v>0.66</v>
      </c>
      <c r="M23" s="62" t="s">
        <v>490</v>
      </c>
      <c r="N23" s="62" t="s">
        <v>594</v>
      </c>
      <c r="O23" s="62" t="s">
        <v>412</v>
      </c>
      <c r="P23" s="17" t="s">
        <v>184</v>
      </c>
      <c r="Q23" s="62">
        <v>4</v>
      </c>
    </row>
    <row r="24" spans="1:17" ht="14.4" customHeight="1" x14ac:dyDescent="0.3">
      <c r="A24" s="38">
        <v>7</v>
      </c>
      <c r="B24" s="39" t="s">
        <v>0</v>
      </c>
      <c r="C24" s="40">
        <v>45587</v>
      </c>
      <c r="D24" s="39" t="s">
        <v>187</v>
      </c>
      <c r="E24" s="45" t="s">
        <v>122</v>
      </c>
      <c r="F24" s="45">
        <f>Serbia_Policies_Table[[#This Row],[Rating]]*Serbia_Policies_Table[[#This Row],[Impact Value]]</f>
        <v>0.66</v>
      </c>
      <c r="G24" s="45">
        <f>SUM(Serbia_Policies_Table[[#This Row],[Impact on Country]:[Impact on EU Relations]])</f>
        <v>2</v>
      </c>
      <c r="H24" s="39">
        <v>0</v>
      </c>
      <c r="I24" s="39">
        <v>1</v>
      </c>
      <c r="J24" s="39">
        <v>0</v>
      </c>
      <c r="K24" s="39">
        <v>1</v>
      </c>
      <c r="L24" s="62" cm="1">
        <f t="array" ref="L24">_xlfn.SWITCH(Serbia_Policies_Table[[#This Row],[Impact]], "High", 1, "Medium", 0.66, "Low", 0.33)</f>
        <v>0.33</v>
      </c>
      <c r="M24" s="62" t="s">
        <v>491</v>
      </c>
      <c r="N24" s="62" t="s">
        <v>595</v>
      </c>
      <c r="O24" s="62" t="s">
        <v>394</v>
      </c>
      <c r="P24" s="17" t="s">
        <v>186</v>
      </c>
      <c r="Q24" s="62">
        <v>6</v>
      </c>
    </row>
    <row r="25" spans="1:17" ht="14.4" customHeight="1" x14ac:dyDescent="0.3">
      <c r="A25" s="38">
        <v>7</v>
      </c>
      <c r="B25" s="39" t="s">
        <v>0</v>
      </c>
      <c r="C25" s="40">
        <v>45593</v>
      </c>
      <c r="D25" s="39" t="s">
        <v>215</v>
      </c>
      <c r="E25" s="45" t="s">
        <v>122</v>
      </c>
      <c r="F25" s="45">
        <f>Serbia_Policies_Table[[#This Row],[Rating]]*Serbia_Policies_Table[[#This Row],[Impact Value]]</f>
        <v>0.66</v>
      </c>
      <c r="G25" s="45">
        <f>SUM(Serbia_Policies_Table[[#This Row],[Impact on Country]:[Impact on EU Relations]])</f>
        <v>2</v>
      </c>
      <c r="H25" s="39">
        <v>1</v>
      </c>
      <c r="I25" s="39">
        <v>0</v>
      </c>
      <c r="J25" s="39">
        <v>0</v>
      </c>
      <c r="K25" s="39">
        <v>1</v>
      </c>
      <c r="L25" s="62" cm="1">
        <f t="array" ref="L25">_xlfn.SWITCH(Serbia_Policies_Table[[#This Row],[Impact]], "High", 1, "Medium", 0.66, "Low", 0.33)</f>
        <v>0.33</v>
      </c>
      <c r="M25" s="62" t="s">
        <v>491</v>
      </c>
      <c r="N25" s="62" t="s">
        <v>596</v>
      </c>
      <c r="O25" s="62" t="s">
        <v>415</v>
      </c>
      <c r="P25" s="17" t="s">
        <v>214</v>
      </c>
      <c r="Q25" s="62">
        <v>4</v>
      </c>
    </row>
    <row r="26" spans="1:17" ht="14.4" customHeight="1" x14ac:dyDescent="0.3">
      <c r="A26" s="38">
        <v>7</v>
      </c>
      <c r="B26" s="39" t="s">
        <v>0</v>
      </c>
      <c r="C26" s="40">
        <v>45681</v>
      </c>
      <c r="D26" s="39" t="s">
        <v>216</v>
      </c>
      <c r="E26" s="45" t="s">
        <v>121</v>
      </c>
      <c r="F26" s="45">
        <f>Serbia_Policies_Table[[#This Row],[Rating]]*Serbia_Policies_Table[[#This Row],[Impact Value]]</f>
        <v>-1.32</v>
      </c>
      <c r="G26" s="45">
        <f>SUM(Serbia_Policies_Table[[#This Row],[Impact on Country]:[Impact on EU Relations]])</f>
        <v>-2</v>
      </c>
      <c r="H26" s="39">
        <v>-1</v>
      </c>
      <c r="I26" s="39">
        <v>0</v>
      </c>
      <c r="J26" s="39">
        <v>0</v>
      </c>
      <c r="K26" s="39">
        <v>-1</v>
      </c>
      <c r="L26" s="62" cm="1">
        <f t="array" ref="L26">_xlfn.SWITCH(Serbia_Policies_Table[[#This Row],[Impact]], "High", 1, "Medium", 0.66, "Low", 0.33)</f>
        <v>0.66</v>
      </c>
      <c r="M26" s="62" t="s">
        <v>490</v>
      </c>
      <c r="N26" s="62" t="s">
        <v>597</v>
      </c>
      <c r="O26" s="62" t="s">
        <v>418</v>
      </c>
      <c r="P26" s="17" t="s">
        <v>217</v>
      </c>
      <c r="Q26" s="84">
        <v>9</v>
      </c>
    </row>
    <row r="27" spans="1:17" ht="14.4" customHeight="1" x14ac:dyDescent="0.3"/>
    <row r="28" spans="1:17" ht="14.4" customHeight="1" x14ac:dyDescent="0.3"/>
    <row r="29" spans="1:17" ht="14.4" customHeight="1" x14ac:dyDescent="0.3"/>
    <row r="30" spans="1:17" ht="14.4" customHeight="1" x14ac:dyDescent="0.3"/>
    <row r="31" spans="1:17" ht="14.4" customHeight="1" x14ac:dyDescent="0.3"/>
    <row r="32" spans="1:17" ht="14.4" customHeight="1" x14ac:dyDescent="0.3"/>
    <row r="33" ht="14.4" customHeight="1" x14ac:dyDescent="0.3"/>
    <row r="34" ht="14.4" customHeight="1" x14ac:dyDescent="0.3"/>
    <row r="35" ht="14.4" customHeight="1" x14ac:dyDescent="0.3"/>
    <row r="36" ht="14.4" customHeight="1" x14ac:dyDescent="0.3"/>
    <row r="37" ht="14.4" customHeight="1" x14ac:dyDescent="0.3"/>
    <row r="38" ht="14.4" customHeight="1" x14ac:dyDescent="0.3"/>
    <row r="39" ht="14.4" customHeight="1" x14ac:dyDescent="0.3"/>
    <row r="40" ht="14.4" customHeight="1" x14ac:dyDescent="0.3"/>
    <row r="41" ht="14.4" customHeight="1" x14ac:dyDescent="0.3"/>
    <row r="42" ht="14.4" customHeight="1" x14ac:dyDescent="0.3"/>
    <row r="43" ht="14.4" customHeight="1" x14ac:dyDescent="0.3"/>
  </sheetData>
  <phoneticPr fontId="9" type="noConversion"/>
  <hyperlinks>
    <hyperlink ref="P2" r:id="rId1" xr:uid="{9D228056-A0AA-4006-8299-C2D7771E1C18}"/>
    <hyperlink ref="P4" r:id="rId2" xr:uid="{0BF1D7C3-ECFD-400B-B60D-C0FAA81BD1A7}"/>
    <hyperlink ref="P10" r:id="rId3" xr:uid="{DD5C7F72-19CB-4934-BD00-55A928933661}"/>
    <hyperlink ref="P11" r:id="rId4" xr:uid="{BCBBD437-9AE4-483D-8075-6AE763B71161}"/>
    <hyperlink ref="P12" r:id="rId5" xr:uid="{BB8235E5-420E-4F4B-B695-8D09B1EF1809}"/>
    <hyperlink ref="P14" r:id="rId6" xr:uid="{E4746872-5413-45DF-BD87-4599AF1C15EB}"/>
    <hyperlink ref="P15" r:id="rId7" xr:uid="{362DB2B5-68E6-4278-8D3F-C4EBCDDBBF32}"/>
    <hyperlink ref="P13" r:id="rId8" xr:uid="{37FADC67-407C-4C11-A8C9-8016621F171C}"/>
    <hyperlink ref="P23" r:id="rId9" xr:uid="{895DBC5A-16FF-46C2-A241-A1A6CF378463}"/>
    <hyperlink ref="P24" r:id="rId10" xr:uid="{F6823C65-9EA0-4171-AA66-9CF7CFA5A391}"/>
    <hyperlink ref="P18" r:id="rId11" xr:uid="{864A9B58-87F1-4A2F-B549-6F2A12654C26}"/>
    <hyperlink ref="P20" r:id="rId12" xr:uid="{8ED8A2A1-ED89-41A8-B69E-620E66349ADB}"/>
    <hyperlink ref="P7" r:id="rId13" xr:uid="{5C62F93B-2E17-4F2C-BD32-7E556037A662}"/>
    <hyperlink ref="P9" r:id="rId14" xr:uid="{533F582F-7E6C-458E-872E-0869D76F1706}"/>
    <hyperlink ref="P8" r:id="rId15" xr:uid="{965C0F3D-E9A8-483B-BE38-A8A66D4E4DD6}"/>
    <hyperlink ref="P21" r:id="rId16" xr:uid="{AC6F0068-8BC5-4C72-B0EB-50DB39545D68}"/>
    <hyperlink ref="P19" r:id="rId17" xr:uid="{AAE5CB8A-E104-40DD-B0C9-D826A9C319BA}"/>
    <hyperlink ref="P5" r:id="rId18" xr:uid="{C5FBAEB4-6CC3-4926-BA8B-6E21E9827D31}"/>
    <hyperlink ref="P16" r:id="rId19" xr:uid="{89E84343-D01C-44A9-88AE-43A60B605C6E}"/>
    <hyperlink ref="P22" r:id="rId20" xr:uid="{19CFBC08-2228-44EC-BCB8-5208EF656B21}"/>
    <hyperlink ref="P17" r:id="rId21" xr:uid="{5A3EEDB6-DFBD-472F-A511-33EB41E9598C}"/>
    <hyperlink ref="P25" r:id="rId22" xr:uid="{0B723BD2-A027-4E36-B0DC-EC91BC19A3D0}"/>
    <hyperlink ref="P26" r:id="rId23" xr:uid="{A661257F-A68E-44D0-8CE5-EDBC044C0F62}"/>
    <hyperlink ref="P3" r:id="rId24" xr:uid="{3384820E-44FA-41BC-846E-EB5111720BEB}"/>
  </hyperlinks>
  <pageMargins left="0.7" right="0.7" top="0.75" bottom="0.75" header="0.3" footer="0.3"/>
  <tableParts count="1">
    <tablePart r:id="rId2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1A05E-EAC2-4426-B9C1-8CB277AFDA2C}">
  <dimension ref="A1:C21"/>
  <sheetViews>
    <sheetView workbookViewId="0"/>
  </sheetViews>
  <sheetFormatPr defaultRowHeight="14.4" x14ac:dyDescent="0.3"/>
  <cols>
    <col min="1" max="1" width="10.77734375" bestFit="1" customWidth="1"/>
    <col min="2" max="2" width="15.44140625" bestFit="1" customWidth="1"/>
    <col min="3" max="3" width="13.77734375" bestFit="1" customWidth="1"/>
  </cols>
  <sheetData>
    <row r="1" spans="1:3" x14ac:dyDescent="0.3">
      <c r="A1" s="27" t="s">
        <v>243</v>
      </c>
      <c r="B1" s="27" t="s">
        <v>645</v>
      </c>
      <c r="C1" s="27" t="s">
        <v>644</v>
      </c>
    </row>
    <row r="2" spans="1:3" x14ac:dyDescent="0.3">
      <c r="A2">
        <v>2015</v>
      </c>
      <c r="B2">
        <v>0</v>
      </c>
      <c r="C2">
        <v>0</v>
      </c>
    </row>
    <row r="3" spans="1:3" x14ac:dyDescent="0.3">
      <c r="A3">
        <v>2016</v>
      </c>
      <c r="B3">
        <v>0</v>
      </c>
      <c r="C3">
        <f>C2+Serbia_Rating[[#This Row],[Rating Change]]</f>
        <v>0</v>
      </c>
    </row>
    <row r="4" spans="1:3" x14ac:dyDescent="0.3">
      <c r="A4">
        <v>2017</v>
      </c>
      <c r="B4">
        <v>0</v>
      </c>
      <c r="C4">
        <f>C3+Serbia_Rating[[#This Row],[Rating Change]]</f>
        <v>0</v>
      </c>
    </row>
    <row r="5" spans="1:3" x14ac:dyDescent="0.3">
      <c r="A5">
        <v>2018</v>
      </c>
      <c r="B5">
        <v>7.2900000000000009</v>
      </c>
      <c r="C5">
        <f>C4+Serbia_Rating[[#This Row],[Rating Change]]</f>
        <v>7.2900000000000009</v>
      </c>
    </row>
    <row r="6" spans="1:3" x14ac:dyDescent="0.3">
      <c r="A6">
        <v>2019</v>
      </c>
      <c r="B6">
        <v>0</v>
      </c>
      <c r="C6">
        <f>C5+Serbia_Rating[[#This Row],[Rating Change]]</f>
        <v>7.2900000000000009</v>
      </c>
    </row>
    <row r="7" spans="1:3" x14ac:dyDescent="0.3">
      <c r="A7">
        <v>2020</v>
      </c>
      <c r="B7">
        <v>-0.33</v>
      </c>
      <c r="C7">
        <f>C6+Serbia_Rating[[#This Row],[Rating Change]]</f>
        <v>6.9600000000000009</v>
      </c>
    </row>
    <row r="8" spans="1:3" x14ac:dyDescent="0.3">
      <c r="A8">
        <v>2021</v>
      </c>
      <c r="B8">
        <v>0</v>
      </c>
      <c r="C8">
        <f>C7+Serbia_Rating[[#This Row],[Rating Change]]</f>
        <v>6.9600000000000009</v>
      </c>
    </row>
    <row r="9" spans="1:3" x14ac:dyDescent="0.3">
      <c r="A9">
        <v>2022</v>
      </c>
      <c r="B9">
        <v>0</v>
      </c>
      <c r="C9">
        <f>C8+Serbia_Rating[[#This Row],[Rating Change]]</f>
        <v>6.9600000000000009</v>
      </c>
    </row>
    <row r="10" spans="1:3" x14ac:dyDescent="0.3">
      <c r="A10">
        <v>2023</v>
      </c>
      <c r="B10">
        <v>-0.35999999999999988</v>
      </c>
      <c r="C10">
        <f>C9+Serbia_Rating[[#This Row],[Rating Change]]</f>
        <v>6.6000000000000014</v>
      </c>
    </row>
    <row r="11" spans="1:3" x14ac:dyDescent="0.3">
      <c r="A11">
        <v>2024</v>
      </c>
      <c r="B11">
        <v>1.2800000000000002</v>
      </c>
      <c r="C11">
        <f>C10+Serbia_Rating[[#This Row],[Rating Change]]</f>
        <v>7.8800000000000017</v>
      </c>
    </row>
    <row r="12" spans="1:3" x14ac:dyDescent="0.3">
      <c r="A12">
        <v>2025</v>
      </c>
      <c r="B12">
        <v>-1.32</v>
      </c>
      <c r="C12">
        <f>C11+Serbia_Rating[[#This Row],[Rating Change]]</f>
        <v>6.5600000000000014</v>
      </c>
    </row>
    <row r="14" spans="1:3" x14ac:dyDescent="0.3">
      <c r="A14" s="55" t="s">
        <v>243</v>
      </c>
      <c r="B14" t="s">
        <v>643</v>
      </c>
    </row>
    <row r="15" spans="1:3" x14ac:dyDescent="0.3">
      <c r="A15" s="56" t="s">
        <v>310</v>
      </c>
      <c r="B15">
        <v>0</v>
      </c>
    </row>
    <row r="16" spans="1:3" x14ac:dyDescent="0.3">
      <c r="A16" s="56" t="s">
        <v>313</v>
      </c>
      <c r="B16">
        <v>7.2900000000000009</v>
      </c>
    </row>
    <row r="17" spans="1:2" x14ac:dyDescent="0.3">
      <c r="A17" s="56" t="s">
        <v>315</v>
      </c>
      <c r="B17">
        <v>-0.33</v>
      </c>
    </row>
    <row r="18" spans="1:2" x14ac:dyDescent="0.3">
      <c r="A18" s="56" t="s">
        <v>318</v>
      </c>
      <c r="B18">
        <v>-0.35999999999999988</v>
      </c>
    </row>
    <row r="19" spans="1:2" x14ac:dyDescent="0.3">
      <c r="A19" s="56" t="s">
        <v>319</v>
      </c>
      <c r="B19">
        <v>1.2800000000000002</v>
      </c>
    </row>
    <row r="20" spans="1:2" x14ac:dyDescent="0.3">
      <c r="A20" s="56" t="s">
        <v>320</v>
      </c>
      <c r="B20">
        <v>-1.32</v>
      </c>
    </row>
    <row r="21" spans="1:2" x14ac:dyDescent="0.3">
      <c r="A21" s="56" t="s">
        <v>309</v>
      </c>
      <c r="B21">
        <v>6.5600000000000014</v>
      </c>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8FD6B-9F52-4E20-91E4-72F999DC0F9A}">
  <dimension ref="A1:Q12"/>
  <sheetViews>
    <sheetView workbookViewId="0"/>
  </sheetViews>
  <sheetFormatPr defaultRowHeight="14.4" x14ac:dyDescent="0.3"/>
  <cols>
    <col min="1" max="1" width="12.21875" bestFit="1" customWidth="1"/>
    <col min="2" max="2" width="15.44140625" bestFit="1" customWidth="1"/>
    <col min="3" max="3" width="10.109375" bestFit="1" customWidth="1"/>
    <col min="4" max="4" width="57.5546875" bestFit="1" customWidth="1"/>
    <col min="5" max="5" width="22.5546875" bestFit="1" customWidth="1"/>
    <col min="6" max="6" width="17.88671875" bestFit="1" customWidth="1"/>
    <col min="7" max="7" width="8.5546875" bestFit="1" customWidth="1"/>
    <col min="8" max="8" width="19.109375" bestFit="1" customWidth="1"/>
    <col min="9" max="9" width="25.77734375" bestFit="1" customWidth="1"/>
    <col min="10" max="10" width="19.88671875" bestFit="1" customWidth="1"/>
    <col min="11" max="11" width="22.88671875" bestFit="1" customWidth="1"/>
    <col min="12" max="12" width="14.33203125" bestFit="1" customWidth="1"/>
    <col min="13" max="13" width="9.109375" bestFit="1" customWidth="1"/>
    <col min="14" max="14" width="50.77734375" customWidth="1"/>
    <col min="15" max="15" width="36.77734375" bestFit="1" customWidth="1"/>
    <col min="16" max="16" width="158.77734375" bestFit="1" customWidth="1"/>
    <col min="17" max="17" width="22.88671875" bestFit="1" customWidth="1"/>
  </cols>
  <sheetData>
    <row r="1" spans="1:17" x14ac:dyDescent="0.3">
      <c r="A1" t="s">
        <v>10</v>
      </c>
      <c r="B1" t="s">
        <v>9</v>
      </c>
      <c r="C1" t="s">
        <v>72</v>
      </c>
      <c r="D1" t="s">
        <v>64</v>
      </c>
      <c r="E1" t="s">
        <v>71</v>
      </c>
      <c r="F1" t="s">
        <v>572</v>
      </c>
      <c r="G1" t="s">
        <v>239</v>
      </c>
      <c r="H1" t="s">
        <v>244</v>
      </c>
      <c r="I1" t="s">
        <v>240</v>
      </c>
      <c r="J1" t="s">
        <v>241</v>
      </c>
      <c r="K1" t="s">
        <v>242</v>
      </c>
      <c r="L1" t="s">
        <v>571</v>
      </c>
      <c r="M1" t="s">
        <v>487</v>
      </c>
      <c r="N1" t="s">
        <v>488</v>
      </c>
      <c r="O1" t="s">
        <v>384</v>
      </c>
      <c r="P1" t="s">
        <v>641</v>
      </c>
      <c r="Q1" t="s">
        <v>642</v>
      </c>
    </row>
    <row r="2" spans="1:17" x14ac:dyDescent="0.3">
      <c r="A2" s="1">
        <v>13</v>
      </c>
      <c r="B2" s="1" t="s">
        <v>1</v>
      </c>
      <c r="C2" s="2">
        <v>42156</v>
      </c>
      <c r="D2" s="1" t="s">
        <v>220</v>
      </c>
      <c r="E2" s="1" t="s">
        <v>121</v>
      </c>
      <c r="F2" s="1">
        <f>Macedonia_Policies_Table[[#This Row],[Rating]]*Macedonia_Policies_Table[[#This Row],[Impact Value]]</f>
        <v>2</v>
      </c>
      <c r="G2" s="1">
        <f>SUM(Macedonia_Policies_Table[[#This Row],[Impact on Country]:[Impact on EU Relations]])</f>
        <v>2</v>
      </c>
      <c r="H2" s="1">
        <v>0</v>
      </c>
      <c r="I2" s="1">
        <v>1</v>
      </c>
      <c r="J2" s="1">
        <v>1</v>
      </c>
      <c r="K2" s="1">
        <v>0</v>
      </c>
      <c r="L2" s="1" cm="1">
        <f t="array" ref="L2">_xlfn.SWITCH(Macedonia_Policies_Table[[#This Row],[Impact]], "High", 1, "Medium", 0.66, "Low", 0.33)</f>
        <v>1</v>
      </c>
      <c r="M2" s="1" t="s">
        <v>489</v>
      </c>
      <c r="N2" s="1" t="s">
        <v>598</v>
      </c>
      <c r="O2" s="1" t="s">
        <v>420</v>
      </c>
      <c r="P2" s="3" t="s">
        <v>219</v>
      </c>
      <c r="Q2" s="48">
        <v>3</v>
      </c>
    </row>
    <row r="3" spans="1:17" x14ac:dyDescent="0.3">
      <c r="A3" s="1">
        <v>13</v>
      </c>
      <c r="B3" s="1" t="s">
        <v>1</v>
      </c>
      <c r="C3" s="2">
        <v>42236</v>
      </c>
      <c r="D3" s="1" t="s">
        <v>218</v>
      </c>
      <c r="E3" s="1" t="s">
        <v>121</v>
      </c>
      <c r="F3" s="1">
        <f>Macedonia_Policies_Table[[#This Row],[Rating]]*Macedonia_Policies_Table[[#This Row],[Impact Value]]</f>
        <v>-0.66</v>
      </c>
      <c r="G3" s="1">
        <f>SUM(Macedonia_Policies_Table[[#This Row],[Impact on Country]:[Impact on EU Relations]])</f>
        <v>-1</v>
      </c>
      <c r="H3" s="1">
        <v>1</v>
      </c>
      <c r="I3" s="1">
        <v>-1</v>
      </c>
      <c r="J3" s="1">
        <v>-1</v>
      </c>
      <c r="K3" s="1">
        <v>0</v>
      </c>
      <c r="L3" s="1" cm="1">
        <f t="array" ref="L3">_xlfn.SWITCH(Macedonia_Policies_Table[[#This Row],[Impact]], "High", 1, "Medium", 0.66, "Low", 0.33)</f>
        <v>0.66</v>
      </c>
      <c r="M3" s="1" t="s">
        <v>490</v>
      </c>
      <c r="N3" s="1" t="s">
        <v>599</v>
      </c>
      <c r="O3" s="1" t="s">
        <v>420</v>
      </c>
      <c r="P3" s="3" t="s">
        <v>219</v>
      </c>
      <c r="Q3" s="1">
        <v>7</v>
      </c>
    </row>
    <row r="4" spans="1:17" x14ac:dyDescent="0.3">
      <c r="A4" s="1">
        <v>13</v>
      </c>
      <c r="B4" s="1" t="s">
        <v>1</v>
      </c>
      <c r="C4" s="2">
        <v>42331</v>
      </c>
      <c r="D4" s="1" t="s">
        <v>224</v>
      </c>
      <c r="E4" s="1" t="s">
        <v>120</v>
      </c>
      <c r="F4" s="1">
        <f>Macedonia_Policies_Table[[#This Row],[Rating]]*Macedonia_Policies_Table[[#This Row],[Impact Value]]</f>
        <v>-0.66</v>
      </c>
      <c r="G4" s="1">
        <f>SUM(Macedonia_Policies_Table[[#This Row],[Impact on Country]:[Impact on EU Relations]])</f>
        <v>-1</v>
      </c>
      <c r="H4" s="1">
        <v>1</v>
      </c>
      <c r="I4" s="1">
        <v>-1</v>
      </c>
      <c r="J4" s="1">
        <v>-1</v>
      </c>
      <c r="K4" s="1">
        <v>0</v>
      </c>
      <c r="L4" s="1" cm="1">
        <f t="array" ref="L4">_xlfn.SWITCH(Macedonia_Policies_Table[[#This Row],[Impact]], "High", 1, "Medium", 0.66, "Low", 0.33)</f>
        <v>0.66</v>
      </c>
      <c r="M4" s="1" t="s">
        <v>490</v>
      </c>
      <c r="N4" s="1" t="s">
        <v>600</v>
      </c>
      <c r="O4" s="1" t="s">
        <v>386</v>
      </c>
      <c r="P4" s="3" t="s">
        <v>223</v>
      </c>
      <c r="Q4" s="1">
        <v>5</v>
      </c>
    </row>
    <row r="5" spans="1:17" x14ac:dyDescent="0.3">
      <c r="A5" s="1">
        <v>13</v>
      </c>
      <c r="B5" s="1" t="s">
        <v>1</v>
      </c>
      <c r="C5" s="2">
        <v>42336</v>
      </c>
      <c r="D5" s="1" t="s">
        <v>222</v>
      </c>
      <c r="E5" s="1" t="s">
        <v>120</v>
      </c>
      <c r="F5" s="1">
        <f>Macedonia_Policies_Table[[#This Row],[Rating]]*Macedonia_Policies_Table[[#This Row],[Impact Value]]</f>
        <v>-2</v>
      </c>
      <c r="G5" s="1">
        <f>SUM(Macedonia_Policies_Table[[#This Row],[Impact on Country]:[Impact on EU Relations]])</f>
        <v>-2</v>
      </c>
      <c r="H5" s="1">
        <v>1</v>
      </c>
      <c r="I5" s="1">
        <v>-1</v>
      </c>
      <c r="J5" s="1">
        <v>-1</v>
      </c>
      <c r="K5" s="1">
        <v>-1</v>
      </c>
      <c r="L5" s="1" cm="1">
        <f t="array" ref="L5">_xlfn.SWITCH(Macedonia_Policies_Table[[#This Row],[Impact]], "High", 1, "Medium", 0.66, "Low", 0.33)</f>
        <v>1</v>
      </c>
      <c r="M5" s="1" t="s">
        <v>489</v>
      </c>
      <c r="N5" s="1" t="s">
        <v>601</v>
      </c>
      <c r="O5" s="1" t="s">
        <v>394</v>
      </c>
      <c r="P5" s="3" t="s">
        <v>221</v>
      </c>
      <c r="Q5" s="1">
        <v>5</v>
      </c>
    </row>
    <row r="6" spans="1:17" x14ac:dyDescent="0.3">
      <c r="A6" s="1">
        <v>13</v>
      </c>
      <c r="B6" s="1" t="s">
        <v>1</v>
      </c>
      <c r="C6" s="2">
        <v>43201</v>
      </c>
      <c r="D6" s="1" t="s">
        <v>226</v>
      </c>
      <c r="E6" s="1" t="s">
        <v>123</v>
      </c>
      <c r="F6" s="1">
        <f>Macedonia_Policies_Table[[#This Row],[Rating]]*Macedonia_Policies_Table[[#This Row],[Impact Value]]</f>
        <v>3</v>
      </c>
      <c r="G6" s="1">
        <f>SUM(Macedonia_Policies_Table[[#This Row],[Impact on Country]:[Impact on EU Relations]])</f>
        <v>3</v>
      </c>
      <c r="H6" s="1">
        <v>1</v>
      </c>
      <c r="I6" s="1">
        <v>0</v>
      </c>
      <c r="J6" s="1">
        <v>1</v>
      </c>
      <c r="K6" s="1">
        <v>1</v>
      </c>
      <c r="L6" s="1" cm="1">
        <f t="array" ref="L6">_xlfn.SWITCH(Macedonia_Policies_Table[[#This Row],[Impact]], "High", 1, "Medium", 0.66, "Low", 0.33)</f>
        <v>1</v>
      </c>
      <c r="M6" s="1" t="s">
        <v>489</v>
      </c>
      <c r="N6" s="1" t="s">
        <v>602</v>
      </c>
      <c r="O6" s="1" t="s">
        <v>408</v>
      </c>
      <c r="P6" s="3" t="s">
        <v>225</v>
      </c>
      <c r="Q6" s="1">
        <v>3</v>
      </c>
    </row>
    <row r="7" spans="1:17" x14ac:dyDescent="0.3">
      <c r="A7" s="1">
        <v>13</v>
      </c>
      <c r="B7" s="1" t="s">
        <v>1</v>
      </c>
      <c r="C7" s="2">
        <v>43907</v>
      </c>
      <c r="D7" s="1" t="s">
        <v>234</v>
      </c>
      <c r="E7" s="1" t="s">
        <v>121</v>
      </c>
      <c r="F7" s="1">
        <f>Macedonia_Policies_Table[[#This Row],[Rating]]*Macedonia_Policies_Table[[#This Row],[Impact Value]]</f>
        <v>-1.32</v>
      </c>
      <c r="G7" s="1">
        <f>SUM(Macedonia_Policies_Table[[#This Row],[Impact on Country]:[Impact on EU Relations]])</f>
        <v>-2</v>
      </c>
      <c r="H7" s="1">
        <v>0</v>
      </c>
      <c r="I7" s="1">
        <v>-1</v>
      </c>
      <c r="J7" s="1">
        <v>-1</v>
      </c>
      <c r="K7" s="1">
        <v>0</v>
      </c>
      <c r="L7" s="1" cm="1">
        <f t="array" ref="L7">_xlfn.SWITCH(Macedonia_Policies_Table[[#This Row],[Impact]], "High", 1, "Medium", 0.66, "Low", 0.33)</f>
        <v>0.66</v>
      </c>
      <c r="M7" s="1" t="s">
        <v>490</v>
      </c>
      <c r="N7" s="1" t="s">
        <v>603</v>
      </c>
      <c r="O7" s="1" t="s">
        <v>421</v>
      </c>
      <c r="P7" s="3" t="s">
        <v>233</v>
      </c>
      <c r="Q7" s="1">
        <v>5</v>
      </c>
    </row>
    <row r="8" spans="1:17" x14ac:dyDescent="0.3">
      <c r="A8" s="1">
        <v>13</v>
      </c>
      <c r="B8" s="1" t="s">
        <v>1</v>
      </c>
      <c r="C8" s="2">
        <v>44562</v>
      </c>
      <c r="D8" s="1" t="s">
        <v>237</v>
      </c>
      <c r="E8" s="1" t="s">
        <v>122</v>
      </c>
      <c r="F8" s="1">
        <f>Macedonia_Policies_Table[[#This Row],[Rating]]*Macedonia_Policies_Table[[#This Row],[Impact Value]]</f>
        <v>1.98</v>
      </c>
      <c r="G8" s="1">
        <f>SUM(Macedonia_Policies_Table[[#This Row],[Impact on Country]:[Impact on EU Relations]])</f>
        <v>3</v>
      </c>
      <c r="H8" s="1">
        <v>1</v>
      </c>
      <c r="I8" s="1">
        <v>0</v>
      </c>
      <c r="J8" s="1">
        <v>1</v>
      </c>
      <c r="K8" s="1">
        <v>1</v>
      </c>
      <c r="L8" s="1" cm="1">
        <f t="array" ref="L8">_xlfn.SWITCH(Macedonia_Policies_Table[[#This Row],[Impact]], "High", 1, "Medium", 0.66, "Low", 0.33)</f>
        <v>0.66</v>
      </c>
      <c r="M8" s="1" t="s">
        <v>490</v>
      </c>
      <c r="N8" s="1" t="s">
        <v>604</v>
      </c>
      <c r="O8" s="1" t="s">
        <v>404</v>
      </c>
      <c r="P8" s="3" t="s">
        <v>238</v>
      </c>
      <c r="Q8" s="1">
        <v>3</v>
      </c>
    </row>
    <row r="9" spans="1:17" x14ac:dyDescent="0.3">
      <c r="A9" s="1">
        <v>13</v>
      </c>
      <c r="B9" s="1" t="s">
        <v>1</v>
      </c>
      <c r="C9" s="2">
        <v>44593</v>
      </c>
      <c r="D9" s="1" t="s">
        <v>236</v>
      </c>
      <c r="E9" s="1" t="s">
        <v>122</v>
      </c>
      <c r="F9" s="1">
        <f>Macedonia_Policies_Table[[#This Row],[Rating]]*Macedonia_Policies_Table[[#This Row],[Impact Value]]</f>
        <v>1.98</v>
      </c>
      <c r="G9" s="1">
        <f>SUM(Macedonia_Policies_Table[[#This Row],[Impact on Country]:[Impact on EU Relations]])</f>
        <v>3</v>
      </c>
      <c r="H9" s="1">
        <v>1</v>
      </c>
      <c r="I9" s="1">
        <v>0</v>
      </c>
      <c r="J9" s="1">
        <v>1</v>
      </c>
      <c r="K9" s="1">
        <v>1</v>
      </c>
      <c r="L9" s="1" cm="1">
        <f t="array" ref="L9">_xlfn.SWITCH(Macedonia_Policies_Table[[#This Row],[Impact]], "High", 1, "Medium", 0.66, "Low", 0.33)</f>
        <v>0.66</v>
      </c>
      <c r="M9" s="1" t="s">
        <v>490</v>
      </c>
      <c r="N9" s="1" t="s">
        <v>605</v>
      </c>
      <c r="O9" s="1" t="s">
        <v>422</v>
      </c>
      <c r="P9" s="3" t="s">
        <v>235</v>
      </c>
      <c r="Q9" s="1">
        <v>3</v>
      </c>
    </row>
    <row r="10" spans="1:17" x14ac:dyDescent="0.3">
      <c r="A10" s="1">
        <v>13</v>
      </c>
      <c r="B10" s="1" t="s">
        <v>1</v>
      </c>
      <c r="C10" s="2">
        <v>44622</v>
      </c>
      <c r="D10" s="1" t="s">
        <v>227</v>
      </c>
      <c r="E10" s="1" t="s">
        <v>123</v>
      </c>
      <c r="F10" s="1">
        <f>Macedonia_Policies_Table[[#This Row],[Rating]]*Macedonia_Policies_Table[[#This Row],[Impact Value]]</f>
        <v>0.66</v>
      </c>
      <c r="G10" s="1">
        <f>SUM(Macedonia_Policies_Table[[#This Row],[Impact on Country]:[Impact on EU Relations]])</f>
        <v>2</v>
      </c>
      <c r="H10" s="1">
        <v>1</v>
      </c>
      <c r="I10" s="1">
        <v>0</v>
      </c>
      <c r="J10" s="1">
        <v>0</v>
      </c>
      <c r="K10" s="1">
        <v>1</v>
      </c>
      <c r="L10" s="1" cm="1">
        <f t="array" ref="L10">_xlfn.SWITCH(Macedonia_Policies_Table[[#This Row],[Impact]], "High", 1, "Medium", 0.66, "Low", 0.33)</f>
        <v>0.33</v>
      </c>
      <c r="M10" s="1" t="s">
        <v>491</v>
      </c>
      <c r="N10" s="1" t="s">
        <v>606</v>
      </c>
      <c r="O10" s="1" t="s">
        <v>423</v>
      </c>
      <c r="P10" s="3" t="s">
        <v>228</v>
      </c>
      <c r="Q10" s="1">
        <v>3</v>
      </c>
    </row>
    <row r="11" spans="1:17" x14ac:dyDescent="0.3">
      <c r="A11" s="1">
        <v>13</v>
      </c>
      <c r="B11" s="1" t="s">
        <v>1</v>
      </c>
      <c r="C11" s="2">
        <v>44847</v>
      </c>
      <c r="D11" s="1" t="s">
        <v>230</v>
      </c>
      <c r="E11" s="1" t="s">
        <v>122</v>
      </c>
      <c r="F11" s="1">
        <f>Macedonia_Policies_Table[[#This Row],[Rating]]*Macedonia_Policies_Table[[#This Row],[Impact Value]]</f>
        <v>1.32</v>
      </c>
      <c r="G11" s="1">
        <f>SUM(Macedonia_Policies_Table[[#This Row],[Impact on Country]:[Impact on EU Relations]])</f>
        <v>2</v>
      </c>
      <c r="H11" s="1">
        <v>1</v>
      </c>
      <c r="I11" s="1">
        <v>1</v>
      </c>
      <c r="J11" s="1">
        <v>-1</v>
      </c>
      <c r="K11" s="1">
        <v>1</v>
      </c>
      <c r="L11" s="1" cm="1">
        <f t="array" ref="L11">_xlfn.SWITCH(Macedonia_Policies_Table[[#This Row],[Impact]], "High", 1, "Medium", 0.66, "Low", 0.33)</f>
        <v>0.66</v>
      </c>
      <c r="M11" s="1" t="s">
        <v>490</v>
      </c>
      <c r="N11" s="1" t="s">
        <v>607</v>
      </c>
      <c r="O11" s="1" t="s">
        <v>400</v>
      </c>
      <c r="P11" s="3" t="s">
        <v>229</v>
      </c>
      <c r="Q11" s="1">
        <v>5</v>
      </c>
    </row>
    <row r="12" spans="1:17" x14ac:dyDescent="0.3">
      <c r="A12" s="1">
        <v>13</v>
      </c>
      <c r="B12" s="1" t="s">
        <v>1</v>
      </c>
      <c r="C12" s="2">
        <v>45170</v>
      </c>
      <c r="D12" s="1" t="s">
        <v>232</v>
      </c>
      <c r="E12" s="1" t="s">
        <v>123</v>
      </c>
      <c r="F12" s="1">
        <f>Macedonia_Policies_Table[[#This Row],[Rating]]*Macedonia_Policies_Table[[#This Row],[Impact Value]]</f>
        <v>1.98</v>
      </c>
      <c r="G12" s="1">
        <f>SUM(Macedonia_Policies_Table[[#This Row],[Impact on Country]:[Impact on EU Relations]])</f>
        <v>3</v>
      </c>
      <c r="H12" s="1">
        <v>1</v>
      </c>
      <c r="I12" s="1">
        <v>0</v>
      </c>
      <c r="J12" s="1">
        <v>1</v>
      </c>
      <c r="K12" s="1">
        <v>1</v>
      </c>
      <c r="L12" s="1" cm="1">
        <f t="array" ref="L12">_xlfn.SWITCH(Macedonia_Policies_Table[[#This Row],[Impact]], "High", 1, "Medium", 0.66, "Low", 0.33)</f>
        <v>0.66</v>
      </c>
      <c r="M12" s="1" t="s">
        <v>490</v>
      </c>
      <c r="N12" s="1" t="s">
        <v>608</v>
      </c>
      <c r="O12" s="1" t="s">
        <v>424</v>
      </c>
      <c r="P12" s="3" t="s">
        <v>231</v>
      </c>
      <c r="Q12" s="4">
        <v>4</v>
      </c>
    </row>
  </sheetData>
  <phoneticPr fontId="9" type="noConversion"/>
  <hyperlinks>
    <hyperlink ref="P3" r:id="rId1" xr:uid="{2C2517D0-BB55-471D-9F69-89BC3981603D}"/>
    <hyperlink ref="P2" r:id="rId2" xr:uid="{7B9E3DAA-14C9-40F4-9FC8-36AA2F93C36A}"/>
    <hyperlink ref="P5" r:id="rId3" xr:uid="{50A7D2D5-377B-4768-B500-D3E6AB8D0E5F}"/>
    <hyperlink ref="P4" r:id="rId4" xr:uid="{1CC970AD-AE94-4C5E-8D62-E291B4B2F2E4}"/>
    <hyperlink ref="P10" r:id="rId5" xr:uid="{FD60072C-F8BB-4A8C-9452-B844C9AFBDE2}"/>
    <hyperlink ref="P11" r:id="rId6" xr:uid="{2AA56ED8-474E-4F8E-8F40-22BBD6BB1586}"/>
    <hyperlink ref="P12" r:id="rId7" xr:uid="{827ED354-47EC-4D3B-BDEC-AD9CE1F4F26A}"/>
    <hyperlink ref="P7" r:id="rId8" xr:uid="{0763AA63-FAEA-4544-A685-54701B4F2086}"/>
    <hyperlink ref="P9" r:id="rId9" xr:uid="{C85F0233-8269-43D7-A62D-8AF903F95929}"/>
    <hyperlink ref="P8" r:id="rId10" xr:uid="{05BF6A2A-4EE9-4C75-B489-F5741E45E979}"/>
    <hyperlink ref="P6" r:id="rId11" xr:uid="{7D9C391A-D136-4498-A74B-5BDAFB565DB9}"/>
  </hyperlinks>
  <pageMargins left="0.7" right="0.7" top="0.75" bottom="0.75" header="0.3" footer="0.3"/>
  <tableParts count="1">
    <tablePart r:id="rId1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4530F-480F-4B55-82CE-68F3213D03E9}">
  <dimension ref="A1:C20"/>
  <sheetViews>
    <sheetView workbookViewId="0"/>
  </sheetViews>
  <sheetFormatPr defaultRowHeight="14.4" x14ac:dyDescent="0.3"/>
  <cols>
    <col min="1" max="1" width="10.77734375" bestFit="1" customWidth="1"/>
    <col min="2" max="2" width="15.44140625" bestFit="1" customWidth="1"/>
    <col min="3" max="3" width="13.77734375" bestFit="1" customWidth="1"/>
  </cols>
  <sheetData>
    <row r="1" spans="1:3" x14ac:dyDescent="0.3">
      <c r="A1" s="27" t="s">
        <v>243</v>
      </c>
      <c r="B1" s="27" t="s">
        <v>645</v>
      </c>
      <c r="C1" s="27" t="s">
        <v>644</v>
      </c>
    </row>
    <row r="2" spans="1:3" x14ac:dyDescent="0.3">
      <c r="A2">
        <v>2015</v>
      </c>
      <c r="B2">
        <v>-1.3200000000000003</v>
      </c>
      <c r="C2">
        <v>-2</v>
      </c>
    </row>
    <row r="3" spans="1:3" x14ac:dyDescent="0.3">
      <c r="A3">
        <v>2016</v>
      </c>
      <c r="B3">
        <v>0</v>
      </c>
      <c r="C3">
        <f>C2+North_Macedonia_Rating[[#This Row],[Rating Change]]</f>
        <v>-2</v>
      </c>
    </row>
    <row r="4" spans="1:3" x14ac:dyDescent="0.3">
      <c r="A4">
        <v>2017</v>
      </c>
      <c r="B4">
        <v>0</v>
      </c>
      <c r="C4">
        <f>C3+North_Macedonia_Rating[[#This Row],[Rating Change]]</f>
        <v>-2</v>
      </c>
    </row>
    <row r="5" spans="1:3" x14ac:dyDescent="0.3">
      <c r="A5">
        <v>2018</v>
      </c>
      <c r="B5">
        <v>3</v>
      </c>
      <c r="C5">
        <f>C4+North_Macedonia_Rating[[#This Row],[Rating Change]]</f>
        <v>1</v>
      </c>
    </row>
    <row r="6" spans="1:3" x14ac:dyDescent="0.3">
      <c r="A6">
        <v>2019</v>
      </c>
      <c r="B6">
        <v>0</v>
      </c>
      <c r="C6">
        <f>C5+North_Macedonia_Rating[[#This Row],[Rating Change]]</f>
        <v>1</v>
      </c>
    </row>
    <row r="7" spans="1:3" x14ac:dyDescent="0.3">
      <c r="A7">
        <v>2020</v>
      </c>
      <c r="B7">
        <v>-1.32</v>
      </c>
      <c r="C7">
        <f>C6+North_Macedonia_Rating[[#This Row],[Rating Change]]</f>
        <v>-0.32000000000000006</v>
      </c>
    </row>
    <row r="8" spans="1:3" x14ac:dyDescent="0.3">
      <c r="A8">
        <v>2021</v>
      </c>
      <c r="B8">
        <v>0</v>
      </c>
      <c r="C8">
        <f>C7+North_Macedonia_Rating[[#This Row],[Rating Change]]</f>
        <v>-0.32000000000000006</v>
      </c>
    </row>
    <row r="9" spans="1:3" x14ac:dyDescent="0.3">
      <c r="A9">
        <v>2022</v>
      </c>
      <c r="B9">
        <v>5.94</v>
      </c>
      <c r="C9">
        <f>C8+North_Macedonia_Rating[[#This Row],[Rating Change]]</f>
        <v>5.62</v>
      </c>
    </row>
    <row r="10" spans="1:3" x14ac:dyDescent="0.3">
      <c r="A10">
        <v>2023</v>
      </c>
      <c r="B10">
        <v>1.98</v>
      </c>
      <c r="C10">
        <f>C9+North_Macedonia_Rating[[#This Row],[Rating Change]]</f>
        <v>7.6</v>
      </c>
    </row>
    <row r="11" spans="1:3" x14ac:dyDescent="0.3">
      <c r="A11">
        <v>2024</v>
      </c>
      <c r="B11">
        <v>0</v>
      </c>
      <c r="C11">
        <f>C10+North_Macedonia_Rating[[#This Row],[Rating Change]]</f>
        <v>7.6</v>
      </c>
    </row>
    <row r="12" spans="1:3" x14ac:dyDescent="0.3">
      <c r="A12">
        <v>2025</v>
      </c>
      <c r="B12">
        <v>0</v>
      </c>
      <c r="C12">
        <f>C11+North_Macedonia_Rating[[#This Row],[Rating Change]]</f>
        <v>7.6</v>
      </c>
    </row>
    <row r="14" spans="1:3" x14ac:dyDescent="0.3">
      <c r="A14" s="55" t="s">
        <v>243</v>
      </c>
      <c r="B14" t="s">
        <v>643</v>
      </c>
    </row>
    <row r="15" spans="1:3" x14ac:dyDescent="0.3">
      <c r="A15" s="56" t="s">
        <v>310</v>
      </c>
      <c r="B15">
        <v>-1.3200000000000003</v>
      </c>
    </row>
    <row r="16" spans="1:3" x14ac:dyDescent="0.3">
      <c r="A16" s="56" t="s">
        <v>313</v>
      </c>
      <c r="B16">
        <v>3</v>
      </c>
    </row>
    <row r="17" spans="1:2" x14ac:dyDescent="0.3">
      <c r="A17" s="56" t="s">
        <v>315</v>
      </c>
      <c r="B17">
        <v>-1.32</v>
      </c>
    </row>
    <row r="18" spans="1:2" x14ac:dyDescent="0.3">
      <c r="A18" s="56" t="s">
        <v>317</v>
      </c>
      <c r="B18">
        <v>5.94</v>
      </c>
    </row>
    <row r="19" spans="1:2" x14ac:dyDescent="0.3">
      <c r="A19" s="56" t="s">
        <v>318</v>
      </c>
      <c r="B19">
        <v>1.98</v>
      </c>
    </row>
    <row r="20" spans="1:2" x14ac:dyDescent="0.3">
      <c r="A20" s="56" t="s">
        <v>309</v>
      </c>
      <c r="B20">
        <v>8.2799999999999994</v>
      </c>
    </row>
  </sheetData>
  <pageMargins left="0.7" right="0.7" top="0.75" bottom="0.75" header="0.3" footer="0.3"/>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F8DB9-3E23-4FD1-9CED-1F9841177B96}">
  <dimension ref="A1:Q16"/>
  <sheetViews>
    <sheetView workbookViewId="0"/>
  </sheetViews>
  <sheetFormatPr defaultRowHeight="14.4" x14ac:dyDescent="0.3"/>
  <cols>
    <col min="1" max="1" width="12.21875" bestFit="1" customWidth="1"/>
    <col min="2" max="2" width="11.109375" bestFit="1" customWidth="1"/>
    <col min="3" max="3" width="10.109375" bestFit="1" customWidth="1"/>
    <col min="4" max="4" width="83.5546875" bestFit="1" customWidth="1"/>
    <col min="5" max="5" width="22.5546875" bestFit="1" customWidth="1"/>
    <col min="6" max="6" width="17.88671875" bestFit="1" customWidth="1"/>
    <col min="7" max="7" width="8.5546875" bestFit="1" customWidth="1"/>
    <col min="8" max="8" width="19.109375" bestFit="1" customWidth="1"/>
    <col min="9" max="9" width="25.77734375" bestFit="1" customWidth="1"/>
    <col min="10" max="10" width="19.88671875" bestFit="1" customWidth="1"/>
    <col min="11" max="11" width="22.88671875" bestFit="1" customWidth="1"/>
    <col min="12" max="12" width="14.33203125" bestFit="1" customWidth="1"/>
    <col min="13" max="13" width="9.109375" bestFit="1" customWidth="1"/>
    <col min="14" max="14" width="50.77734375" customWidth="1"/>
    <col min="15" max="15" width="31.44140625" bestFit="1" customWidth="1"/>
    <col min="16" max="16" width="99.6640625" bestFit="1" customWidth="1"/>
    <col min="17" max="17" width="22.88671875" bestFit="1" customWidth="1"/>
  </cols>
  <sheetData>
    <row r="1" spans="1:17" x14ac:dyDescent="0.3">
      <c r="A1" s="47" t="s">
        <v>10</v>
      </c>
      <c r="B1" s="48" t="s">
        <v>9</v>
      </c>
      <c r="C1" s="48" t="s">
        <v>72</v>
      </c>
      <c r="D1" s="48" t="s">
        <v>64</v>
      </c>
      <c r="E1" s="48" t="s">
        <v>71</v>
      </c>
      <c r="F1" s="48" t="s">
        <v>572</v>
      </c>
      <c r="G1" s="48" t="s">
        <v>239</v>
      </c>
      <c r="H1" s="48" t="s">
        <v>244</v>
      </c>
      <c r="I1" s="48" t="s">
        <v>240</v>
      </c>
      <c r="J1" s="48" t="s">
        <v>241</v>
      </c>
      <c r="K1" s="48" t="s">
        <v>242</v>
      </c>
      <c r="L1" s="49" t="s">
        <v>571</v>
      </c>
      <c r="M1" s="49" t="s">
        <v>487</v>
      </c>
      <c r="N1" s="49" t="s">
        <v>488</v>
      </c>
      <c r="O1" s="49" t="s">
        <v>384</v>
      </c>
      <c r="P1" s="49" t="s">
        <v>641</v>
      </c>
      <c r="Q1" s="48" t="s">
        <v>642</v>
      </c>
    </row>
    <row r="2" spans="1:17" x14ac:dyDescent="0.3">
      <c r="A2" s="10">
        <v>8</v>
      </c>
      <c r="B2" s="1" t="s">
        <v>2</v>
      </c>
      <c r="C2" s="2">
        <v>42309</v>
      </c>
      <c r="D2" s="1" t="s">
        <v>273</v>
      </c>
      <c r="E2" s="1" t="s">
        <v>123</v>
      </c>
      <c r="F2" s="1">
        <f>Montenegro_Policies_Table[[#This Row],[Rating]]*Montenegro_Policies_Table[[#This Row],[Impact Value]]</f>
        <v>0.66</v>
      </c>
      <c r="G2" s="1">
        <f>SUM(Montenegro_Policies_Table[[#This Row],[Impact on Country]:[Impact on EU Relations]])</f>
        <v>2</v>
      </c>
      <c r="H2" s="1">
        <v>1</v>
      </c>
      <c r="I2" s="1">
        <v>0</v>
      </c>
      <c r="J2" s="1">
        <v>0</v>
      </c>
      <c r="K2" s="1">
        <v>1</v>
      </c>
      <c r="L2" s="63" cm="1">
        <f t="array" ref="L2">_xlfn.SWITCH(Montenegro_Policies_Table[[#This Row],[Impact]], "High", 1, "Medium", 0.66, "Low", 0.33)</f>
        <v>0.33</v>
      </c>
      <c r="M2" s="63" t="s">
        <v>491</v>
      </c>
      <c r="N2" s="63" t="s">
        <v>622</v>
      </c>
      <c r="O2" s="63" t="s">
        <v>434</v>
      </c>
      <c r="P2" s="11" t="s">
        <v>274</v>
      </c>
      <c r="Q2" s="49">
        <v>4</v>
      </c>
    </row>
    <row r="3" spans="1:17" x14ac:dyDescent="0.3">
      <c r="A3" s="10">
        <v>8</v>
      </c>
      <c r="B3" s="1" t="s">
        <v>2</v>
      </c>
      <c r="C3" s="2">
        <v>42733</v>
      </c>
      <c r="D3" s="1" t="s">
        <v>282</v>
      </c>
      <c r="E3" s="1" t="s">
        <v>123</v>
      </c>
      <c r="F3" s="1">
        <f>Montenegro_Policies_Table[[#This Row],[Rating]]*Montenegro_Policies_Table[[#This Row],[Impact Value]]</f>
        <v>1.98</v>
      </c>
      <c r="G3" s="1">
        <f>SUM(Montenegro_Policies_Table[[#This Row],[Impact on Country]:[Impact on EU Relations]])</f>
        <v>3</v>
      </c>
      <c r="H3" s="1">
        <v>1</v>
      </c>
      <c r="I3" s="1">
        <v>0</v>
      </c>
      <c r="J3" s="1">
        <v>1</v>
      </c>
      <c r="K3" s="1">
        <v>1</v>
      </c>
      <c r="L3" s="63" cm="1">
        <f t="array" ref="L3">_xlfn.SWITCH(Montenegro_Policies_Table[[#This Row],[Impact]], "High", 1, "Medium", 0.66, "Low", 0.33)</f>
        <v>0.66</v>
      </c>
      <c r="M3" s="63" t="s">
        <v>490</v>
      </c>
      <c r="N3" s="63" t="s">
        <v>623</v>
      </c>
      <c r="O3" s="63" t="s">
        <v>408</v>
      </c>
      <c r="P3" s="11" t="s">
        <v>281</v>
      </c>
      <c r="Q3" s="63">
        <v>3</v>
      </c>
    </row>
    <row r="4" spans="1:17" x14ac:dyDescent="0.3">
      <c r="A4" s="14">
        <v>8</v>
      </c>
      <c r="B4" s="1" t="s">
        <v>2</v>
      </c>
      <c r="C4" s="5">
        <v>43150</v>
      </c>
      <c r="D4" s="4" t="s">
        <v>275</v>
      </c>
      <c r="E4" s="4" t="s">
        <v>123</v>
      </c>
      <c r="F4" s="1">
        <f>Montenegro_Policies_Table[[#This Row],[Rating]]*Montenegro_Policies_Table[[#This Row],[Impact Value]]</f>
        <v>0.66</v>
      </c>
      <c r="G4" s="1">
        <f>SUM(Montenegro_Policies_Table[[#This Row],[Impact on Country]:[Impact on EU Relations]])</f>
        <v>2</v>
      </c>
      <c r="H4" s="4">
        <v>1</v>
      </c>
      <c r="I4" s="4">
        <v>0</v>
      </c>
      <c r="J4" s="4">
        <v>0</v>
      </c>
      <c r="K4" s="4">
        <v>1</v>
      </c>
      <c r="L4" s="63" cm="1">
        <f t="array" ref="L4">_xlfn.SWITCH(Montenegro_Policies_Table[[#This Row],[Impact]], "High", 1, "Medium", 0.66, "Low", 0.33)</f>
        <v>0.33</v>
      </c>
      <c r="M4" s="76" t="s">
        <v>491</v>
      </c>
      <c r="N4" s="76" t="s">
        <v>624</v>
      </c>
      <c r="O4" s="63" t="s">
        <v>432</v>
      </c>
      <c r="P4" s="50" t="s">
        <v>276</v>
      </c>
      <c r="Q4" s="63">
        <v>3</v>
      </c>
    </row>
    <row r="5" spans="1:17" x14ac:dyDescent="0.3">
      <c r="A5" s="10">
        <v>8</v>
      </c>
      <c r="B5" s="1" t="s">
        <v>2</v>
      </c>
      <c r="C5" s="2">
        <v>44470</v>
      </c>
      <c r="D5" s="1" t="s">
        <v>280</v>
      </c>
      <c r="E5" s="1" t="s">
        <v>123</v>
      </c>
      <c r="F5" s="1">
        <f>Montenegro_Policies_Table[[#This Row],[Rating]]*Montenegro_Policies_Table[[#This Row],[Impact Value]]</f>
        <v>0.66</v>
      </c>
      <c r="G5" s="1">
        <f>SUM(Montenegro_Policies_Table[[#This Row],[Impact on Country]:[Impact on EU Relations]])</f>
        <v>2</v>
      </c>
      <c r="H5" s="1">
        <v>1</v>
      </c>
      <c r="I5" s="1">
        <v>0</v>
      </c>
      <c r="J5" s="1">
        <v>0</v>
      </c>
      <c r="K5" s="1">
        <v>1</v>
      </c>
      <c r="L5" s="63" cm="1">
        <f t="array" ref="L5">_xlfn.SWITCH(Montenegro_Policies_Table[[#This Row],[Impact]], "High", 1, "Medium", 0.66, "Low", 0.33)</f>
        <v>0.33</v>
      </c>
      <c r="M5" s="63" t="s">
        <v>491</v>
      </c>
      <c r="N5" s="63" t="s">
        <v>625</v>
      </c>
      <c r="O5" s="63" t="s">
        <v>433</v>
      </c>
      <c r="P5" s="11" t="s">
        <v>279</v>
      </c>
      <c r="Q5" s="63">
        <v>4</v>
      </c>
    </row>
    <row r="6" spans="1:17" x14ac:dyDescent="0.3">
      <c r="A6" s="14">
        <v>8</v>
      </c>
      <c r="B6" s="4" t="s">
        <v>2</v>
      </c>
      <c r="C6" s="5">
        <v>45062</v>
      </c>
      <c r="D6" s="4" t="s">
        <v>277</v>
      </c>
      <c r="E6" s="4" t="s">
        <v>122</v>
      </c>
      <c r="F6" s="1">
        <f>Montenegro_Policies_Table[[#This Row],[Rating]]*Montenegro_Policies_Table[[#This Row],[Impact Value]]</f>
        <v>1.32</v>
      </c>
      <c r="G6" s="1">
        <f>SUM(Montenegro_Policies_Table[[#This Row],[Impact on Country]:[Impact on EU Relations]])</f>
        <v>2</v>
      </c>
      <c r="H6" s="4">
        <v>1</v>
      </c>
      <c r="I6" s="4">
        <v>1</v>
      </c>
      <c r="J6" s="4">
        <v>-1</v>
      </c>
      <c r="K6" s="4">
        <v>1</v>
      </c>
      <c r="L6" s="63" cm="1">
        <f t="array" ref="L6">_xlfn.SWITCH(Montenegro_Policies_Table[[#This Row],[Impact]], "High", 1, "Medium", 0.66, "Low", 0.33)</f>
        <v>0.66</v>
      </c>
      <c r="M6" s="76" t="s">
        <v>490</v>
      </c>
      <c r="N6" s="76" t="s">
        <v>626</v>
      </c>
      <c r="O6" s="63" t="s">
        <v>412</v>
      </c>
      <c r="P6" s="50" t="s">
        <v>278</v>
      </c>
      <c r="Q6" s="76">
        <v>4</v>
      </c>
    </row>
    <row r="7" spans="1:17" x14ac:dyDescent="0.3">
      <c r="C7" s="52"/>
      <c r="P7" s="51"/>
    </row>
    <row r="8" spans="1:17" x14ac:dyDescent="0.3">
      <c r="C8" s="52"/>
      <c r="P8" s="51"/>
    </row>
    <row r="9" spans="1:17" x14ac:dyDescent="0.3">
      <c r="C9" s="52"/>
      <c r="P9" s="51"/>
    </row>
    <row r="10" spans="1:17" x14ac:dyDescent="0.3">
      <c r="C10" s="52"/>
      <c r="P10" s="51"/>
    </row>
    <row r="11" spans="1:17" x14ac:dyDescent="0.3">
      <c r="C11" s="52"/>
      <c r="P11" s="51"/>
    </row>
    <row r="12" spans="1:17" x14ac:dyDescent="0.3">
      <c r="C12" s="52"/>
      <c r="P12" s="51"/>
    </row>
    <row r="13" spans="1:17" x14ac:dyDescent="0.3">
      <c r="C13" s="52"/>
      <c r="P13" s="51"/>
    </row>
    <row r="14" spans="1:17" x14ac:dyDescent="0.3">
      <c r="C14" s="52"/>
      <c r="P14" s="51"/>
    </row>
    <row r="15" spans="1:17" x14ac:dyDescent="0.3">
      <c r="C15" s="52"/>
      <c r="P15" s="51"/>
    </row>
    <row r="16" spans="1:17" x14ac:dyDescent="0.3">
      <c r="C16" s="52"/>
      <c r="P16" s="51"/>
    </row>
  </sheetData>
  <phoneticPr fontId="9" type="noConversion"/>
  <hyperlinks>
    <hyperlink ref="P2" r:id="rId1" xr:uid="{A431982C-5772-4891-A61D-DE47BE18E02E}"/>
    <hyperlink ref="P4" r:id="rId2" xr:uid="{1C46547C-6FCA-4581-B3AE-A9A10607BF15}"/>
    <hyperlink ref="P6" r:id="rId3" xr:uid="{81523102-B2CE-4F98-83A6-8A0651EAF388}"/>
    <hyperlink ref="P5" r:id="rId4" xr:uid="{958A7235-694B-49C8-B59F-60278316E106}"/>
    <hyperlink ref="P3" r:id="rId5" xr:uid="{3F731471-F7A6-46C6-89F8-EF3E77EA8D94}"/>
  </hyperlinks>
  <pageMargins left="0.7" right="0.7" top="0.75" bottom="0.75" header="0.3" footer="0.3"/>
  <tableParts count="1">
    <tablePart r:id="rId6"/>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B78B-806C-4CAF-AE89-A7AEA829C99D}">
  <dimension ref="A1:C20"/>
  <sheetViews>
    <sheetView workbookViewId="0"/>
  </sheetViews>
  <sheetFormatPr defaultRowHeight="14.4" x14ac:dyDescent="0.3"/>
  <cols>
    <col min="1" max="1" width="10.77734375" bestFit="1" customWidth="1"/>
    <col min="2" max="2" width="15.44140625" bestFit="1" customWidth="1"/>
    <col min="3" max="3" width="13.77734375" bestFit="1" customWidth="1"/>
  </cols>
  <sheetData>
    <row r="1" spans="1:3" x14ac:dyDescent="0.3">
      <c r="A1" s="27" t="s">
        <v>243</v>
      </c>
      <c r="B1" s="27" t="s">
        <v>645</v>
      </c>
      <c r="C1" s="27" t="s">
        <v>644</v>
      </c>
    </row>
    <row r="2" spans="1:3" x14ac:dyDescent="0.3">
      <c r="A2">
        <v>2015</v>
      </c>
      <c r="B2">
        <v>0.66</v>
      </c>
      <c r="C2">
        <v>2</v>
      </c>
    </row>
    <row r="3" spans="1:3" x14ac:dyDescent="0.3">
      <c r="A3">
        <v>2016</v>
      </c>
      <c r="B3">
        <v>1.98</v>
      </c>
      <c r="C3">
        <f>C2+Montenegro_Rating[[#This Row],[Rating Change]]</f>
        <v>3.98</v>
      </c>
    </row>
    <row r="4" spans="1:3" x14ac:dyDescent="0.3">
      <c r="A4">
        <v>2017</v>
      </c>
      <c r="B4">
        <v>0</v>
      </c>
      <c r="C4">
        <f>C3+Montenegro_Rating[[#This Row],[Rating Change]]</f>
        <v>3.98</v>
      </c>
    </row>
    <row r="5" spans="1:3" x14ac:dyDescent="0.3">
      <c r="A5">
        <v>2018</v>
      </c>
      <c r="B5">
        <v>0.66</v>
      </c>
      <c r="C5">
        <f>C4+Montenegro_Rating[[#This Row],[Rating Change]]</f>
        <v>4.6399999999999997</v>
      </c>
    </row>
    <row r="6" spans="1:3" x14ac:dyDescent="0.3">
      <c r="A6">
        <v>2019</v>
      </c>
      <c r="B6">
        <v>0</v>
      </c>
      <c r="C6">
        <f>C5+Montenegro_Rating[[#This Row],[Rating Change]]</f>
        <v>4.6399999999999997</v>
      </c>
    </row>
    <row r="7" spans="1:3" x14ac:dyDescent="0.3">
      <c r="A7">
        <v>2020</v>
      </c>
      <c r="B7">
        <v>0</v>
      </c>
      <c r="C7">
        <f>C6+Montenegro_Rating[[#This Row],[Rating Change]]</f>
        <v>4.6399999999999997</v>
      </c>
    </row>
    <row r="8" spans="1:3" x14ac:dyDescent="0.3">
      <c r="A8">
        <v>2021</v>
      </c>
      <c r="B8">
        <v>0.66</v>
      </c>
      <c r="C8">
        <f>C7+Montenegro_Rating[[#This Row],[Rating Change]]</f>
        <v>5.3</v>
      </c>
    </row>
    <row r="9" spans="1:3" x14ac:dyDescent="0.3">
      <c r="A9">
        <v>2022</v>
      </c>
      <c r="B9">
        <v>0</v>
      </c>
      <c r="C9">
        <f>C8+Montenegro_Rating[[#This Row],[Rating Change]]</f>
        <v>5.3</v>
      </c>
    </row>
    <row r="10" spans="1:3" x14ac:dyDescent="0.3">
      <c r="A10">
        <v>2023</v>
      </c>
      <c r="B10">
        <v>1.32</v>
      </c>
      <c r="C10">
        <f>C9+Montenegro_Rating[[#This Row],[Rating Change]]</f>
        <v>6.62</v>
      </c>
    </row>
    <row r="11" spans="1:3" x14ac:dyDescent="0.3">
      <c r="A11">
        <v>2024</v>
      </c>
      <c r="B11">
        <v>0</v>
      </c>
      <c r="C11">
        <f>C10+Montenegro_Rating[[#This Row],[Rating Change]]</f>
        <v>6.62</v>
      </c>
    </row>
    <row r="12" spans="1:3" x14ac:dyDescent="0.3">
      <c r="A12">
        <v>2025</v>
      </c>
      <c r="B12">
        <v>0</v>
      </c>
      <c r="C12">
        <f>C11+Montenegro_Rating[[#This Row],[Rating Change]]</f>
        <v>6.62</v>
      </c>
    </row>
    <row r="14" spans="1:3" x14ac:dyDescent="0.3">
      <c r="A14" s="55" t="s">
        <v>243</v>
      </c>
      <c r="B14" t="s">
        <v>643</v>
      </c>
    </row>
    <row r="15" spans="1:3" x14ac:dyDescent="0.3">
      <c r="A15" s="56" t="s">
        <v>310</v>
      </c>
      <c r="B15">
        <v>0.66</v>
      </c>
    </row>
    <row r="16" spans="1:3" x14ac:dyDescent="0.3">
      <c r="A16" s="56" t="s">
        <v>311</v>
      </c>
      <c r="B16">
        <v>1.98</v>
      </c>
    </row>
    <row r="17" spans="1:2" x14ac:dyDescent="0.3">
      <c r="A17" s="56" t="s">
        <v>313</v>
      </c>
      <c r="B17">
        <v>0.66</v>
      </c>
    </row>
    <row r="18" spans="1:2" x14ac:dyDescent="0.3">
      <c r="A18" s="56" t="s">
        <v>316</v>
      </c>
      <c r="B18">
        <v>0.66</v>
      </c>
    </row>
    <row r="19" spans="1:2" x14ac:dyDescent="0.3">
      <c r="A19" s="56" t="s">
        <v>318</v>
      </c>
      <c r="B19">
        <v>1.32</v>
      </c>
    </row>
    <row r="20" spans="1:2" x14ac:dyDescent="0.3">
      <c r="A20" s="56" t="s">
        <v>309</v>
      </c>
      <c r="B20">
        <v>5.28</v>
      </c>
    </row>
  </sheetData>
  <pageMargins left="0.7" right="0.7" top="0.75" bottom="0.75" header="0.3" footer="0.3"/>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0E8EE-80FD-45C5-8729-0E331CA7E857}">
  <dimension ref="A1:Q17"/>
  <sheetViews>
    <sheetView workbookViewId="0"/>
  </sheetViews>
  <sheetFormatPr defaultRowHeight="14.4" x14ac:dyDescent="0.3"/>
  <cols>
    <col min="1" max="1" width="12.21875" bestFit="1" customWidth="1"/>
    <col min="2" max="2" width="10" bestFit="1" customWidth="1"/>
    <col min="3" max="3" width="10.109375" bestFit="1" customWidth="1"/>
    <col min="4" max="4" width="84.44140625" bestFit="1" customWidth="1"/>
    <col min="5" max="5" width="22.5546875" bestFit="1" customWidth="1"/>
    <col min="6" max="6" width="17.88671875" bestFit="1" customWidth="1"/>
    <col min="7" max="7" width="8.5546875" bestFit="1" customWidth="1"/>
    <col min="8" max="8" width="19.109375" bestFit="1" customWidth="1"/>
    <col min="9" max="9" width="25.77734375" bestFit="1" customWidth="1"/>
    <col min="10" max="10" width="19.88671875" bestFit="1" customWidth="1"/>
    <col min="11" max="11" width="22.88671875" bestFit="1" customWidth="1"/>
    <col min="12" max="12" width="14.33203125" bestFit="1" customWidth="1"/>
    <col min="13" max="13" width="9.109375" bestFit="1" customWidth="1"/>
    <col min="14" max="14" width="50.77734375" customWidth="1"/>
    <col min="15" max="15" width="42" bestFit="1" customWidth="1"/>
    <col min="16" max="16" width="90.5546875" bestFit="1" customWidth="1"/>
    <col min="17" max="17" width="22.88671875" bestFit="1" customWidth="1"/>
  </cols>
  <sheetData>
    <row r="1" spans="1:17" x14ac:dyDescent="0.3">
      <c r="A1" s="47" t="s">
        <v>10</v>
      </c>
      <c r="B1" s="48" t="s">
        <v>9</v>
      </c>
      <c r="C1" s="48" t="s">
        <v>72</v>
      </c>
      <c r="D1" s="48" t="s">
        <v>64</v>
      </c>
      <c r="E1" s="48" t="s">
        <v>71</v>
      </c>
      <c r="F1" s="48" t="s">
        <v>572</v>
      </c>
      <c r="G1" s="48" t="s">
        <v>239</v>
      </c>
      <c r="H1" s="48" t="s">
        <v>244</v>
      </c>
      <c r="I1" s="48" t="s">
        <v>240</v>
      </c>
      <c r="J1" s="48" t="s">
        <v>241</v>
      </c>
      <c r="K1" s="48" t="s">
        <v>242</v>
      </c>
      <c r="L1" s="49" t="s">
        <v>571</v>
      </c>
      <c r="M1" s="49" t="s">
        <v>487</v>
      </c>
      <c r="N1" s="49" t="s">
        <v>488</v>
      </c>
      <c r="O1" s="49" t="s">
        <v>384</v>
      </c>
      <c r="P1" s="49" t="s">
        <v>641</v>
      </c>
      <c r="Q1" s="48" t="s">
        <v>642</v>
      </c>
    </row>
    <row r="2" spans="1:17" x14ac:dyDescent="0.3">
      <c r="A2" s="10">
        <v>5</v>
      </c>
      <c r="B2" s="1" t="s">
        <v>4</v>
      </c>
      <c r="C2" s="2">
        <v>42525</v>
      </c>
      <c r="D2" s="1" t="s">
        <v>294</v>
      </c>
      <c r="E2" s="1" t="s">
        <v>123</v>
      </c>
      <c r="F2" s="1">
        <f>Albania_Policies_Table[[#This Row],[Rating]]*Albania_Policies_Table[[#This Row],[Impact Value]]</f>
        <v>0</v>
      </c>
      <c r="G2" s="1">
        <f>SUM(Albania_Policies_Table[[#This Row],[Impact on Country]:[Impact on EU Relations]])</f>
        <v>0</v>
      </c>
      <c r="H2" s="1">
        <v>1</v>
      </c>
      <c r="I2" s="1">
        <v>0</v>
      </c>
      <c r="J2" s="1">
        <v>-1</v>
      </c>
      <c r="K2" s="1">
        <v>0</v>
      </c>
      <c r="L2" s="63" cm="1">
        <f t="array" ref="L2">_xlfn.SWITCH(Albania_Policies_Table[[#This Row],[Impact]], "High", 1, "Medium", 0.66, "Low", 0.33)</f>
        <v>0.33</v>
      </c>
      <c r="M2" s="63" t="s">
        <v>491</v>
      </c>
      <c r="N2" s="63" t="s">
        <v>627</v>
      </c>
      <c r="O2" s="63" t="s">
        <v>435</v>
      </c>
      <c r="P2" s="11" t="s">
        <v>295</v>
      </c>
      <c r="Q2" s="49">
        <v>3</v>
      </c>
    </row>
    <row r="3" spans="1:17" x14ac:dyDescent="0.3">
      <c r="A3" s="10">
        <v>5</v>
      </c>
      <c r="B3" s="1" t="s">
        <v>4</v>
      </c>
      <c r="C3" s="2">
        <v>42565</v>
      </c>
      <c r="D3" s="1" t="s">
        <v>297</v>
      </c>
      <c r="E3" s="1" t="s">
        <v>123</v>
      </c>
      <c r="F3" s="1">
        <f>Albania_Policies_Table[[#This Row],[Rating]]*Albania_Policies_Table[[#This Row],[Impact Value]]</f>
        <v>0.66</v>
      </c>
      <c r="G3" s="1">
        <f>SUM(Albania_Policies_Table[[#This Row],[Impact on Country]:[Impact on EU Relations]])</f>
        <v>2</v>
      </c>
      <c r="H3" s="1">
        <v>1</v>
      </c>
      <c r="I3" s="1">
        <v>0</v>
      </c>
      <c r="J3" s="1">
        <v>0</v>
      </c>
      <c r="K3" s="1">
        <v>1</v>
      </c>
      <c r="L3" s="63" cm="1">
        <f t="array" ref="L3">_xlfn.SWITCH(Albania_Policies_Table[[#This Row],[Impact]], "High", 1, "Medium", 0.66, "Low", 0.33)</f>
        <v>0.33</v>
      </c>
      <c r="M3" s="63" t="s">
        <v>491</v>
      </c>
      <c r="N3" s="63" t="s">
        <v>628</v>
      </c>
      <c r="O3" s="63" t="s">
        <v>436</v>
      </c>
      <c r="P3" s="11" t="s">
        <v>296</v>
      </c>
      <c r="Q3" s="63">
        <v>4</v>
      </c>
    </row>
    <row r="4" spans="1:17" x14ac:dyDescent="0.3">
      <c r="A4" s="10">
        <v>5</v>
      </c>
      <c r="B4" s="1" t="s">
        <v>4</v>
      </c>
      <c r="C4" s="2">
        <v>43692</v>
      </c>
      <c r="D4" s="1" t="s">
        <v>283</v>
      </c>
      <c r="E4" s="1" t="s">
        <v>123</v>
      </c>
      <c r="F4" s="1">
        <f>Albania_Policies_Table[[#This Row],[Rating]]*Albania_Policies_Table[[#This Row],[Impact Value]]</f>
        <v>0.66</v>
      </c>
      <c r="G4" s="1">
        <f>SUM(Albania_Policies_Table[[#This Row],[Impact on Country]:[Impact on EU Relations]])</f>
        <v>2</v>
      </c>
      <c r="H4" s="1">
        <v>1</v>
      </c>
      <c r="I4" s="1">
        <v>0</v>
      </c>
      <c r="J4" s="1">
        <v>0</v>
      </c>
      <c r="K4" s="1">
        <v>1</v>
      </c>
      <c r="L4" s="63" cm="1">
        <f t="array" ref="L4">_xlfn.SWITCH(Albania_Policies_Table[[#This Row],[Impact]], "High", 1, "Medium", 0.66, "Low", 0.33)</f>
        <v>0.33</v>
      </c>
      <c r="M4" s="63" t="s">
        <v>491</v>
      </c>
      <c r="N4" s="63" t="s">
        <v>629</v>
      </c>
      <c r="O4" s="63" t="s">
        <v>404</v>
      </c>
      <c r="P4" s="11" t="s">
        <v>284</v>
      </c>
      <c r="Q4" s="63">
        <v>3</v>
      </c>
    </row>
    <row r="5" spans="1:17" x14ac:dyDescent="0.3">
      <c r="A5" s="14">
        <v>5</v>
      </c>
      <c r="B5" s="4" t="s">
        <v>4</v>
      </c>
      <c r="C5" s="5">
        <v>44041</v>
      </c>
      <c r="D5" s="4" t="s">
        <v>285</v>
      </c>
      <c r="E5" s="4" t="s">
        <v>123</v>
      </c>
      <c r="F5" s="1">
        <f>Albania_Policies_Table[[#This Row],[Rating]]*Albania_Policies_Table[[#This Row],[Impact Value]]</f>
        <v>0.66</v>
      </c>
      <c r="G5" s="1">
        <f>SUM(Albania_Policies_Table[[#This Row],[Impact on Country]:[Impact on EU Relations]])</f>
        <v>2</v>
      </c>
      <c r="H5" s="4">
        <v>1</v>
      </c>
      <c r="I5" s="4">
        <v>0</v>
      </c>
      <c r="J5" s="4">
        <v>0</v>
      </c>
      <c r="K5" s="4">
        <v>1</v>
      </c>
      <c r="L5" s="63" cm="1">
        <f t="array" ref="L5">_xlfn.SWITCH(Albania_Policies_Table[[#This Row],[Impact]], "High", 1, "Medium", 0.66, "Low", 0.33)</f>
        <v>0.33</v>
      </c>
      <c r="M5" s="76" t="s">
        <v>491</v>
      </c>
      <c r="N5" s="76" t="s">
        <v>630</v>
      </c>
      <c r="O5" s="63" t="s">
        <v>408</v>
      </c>
      <c r="P5" s="50" t="s">
        <v>286</v>
      </c>
      <c r="Q5" s="63">
        <v>3</v>
      </c>
    </row>
    <row r="6" spans="1:17" x14ac:dyDescent="0.3">
      <c r="A6" s="10">
        <v>5</v>
      </c>
      <c r="B6" s="1" t="s">
        <v>4</v>
      </c>
      <c r="C6" s="2">
        <v>44228</v>
      </c>
      <c r="D6" s="1" t="s">
        <v>287</v>
      </c>
      <c r="E6" s="1" t="s">
        <v>123</v>
      </c>
      <c r="F6" s="1">
        <f>Albania_Policies_Table[[#This Row],[Rating]]*Albania_Policies_Table[[#This Row],[Impact Value]]</f>
        <v>3</v>
      </c>
      <c r="G6" s="1">
        <f>SUM(Albania_Policies_Table[[#This Row],[Impact on Country]:[Impact on EU Relations]])</f>
        <v>3</v>
      </c>
      <c r="H6" s="1">
        <v>1</v>
      </c>
      <c r="I6" s="1">
        <v>0</v>
      </c>
      <c r="J6" s="1">
        <v>1</v>
      </c>
      <c r="K6" s="1">
        <v>1</v>
      </c>
      <c r="L6" s="63" cm="1">
        <f t="array" ref="L6">_xlfn.SWITCH(Albania_Policies_Table[[#This Row],[Impact]], "High", 1, "Medium", 0.66, "Low", 0.33)</f>
        <v>1</v>
      </c>
      <c r="M6" s="63" t="s">
        <v>489</v>
      </c>
      <c r="N6" s="63" t="s">
        <v>631</v>
      </c>
      <c r="O6" s="63" t="s">
        <v>408</v>
      </c>
      <c r="P6" s="11" t="s">
        <v>288</v>
      </c>
      <c r="Q6" s="63">
        <v>3</v>
      </c>
    </row>
    <row r="7" spans="1:17" x14ac:dyDescent="0.3">
      <c r="A7" s="14">
        <v>5</v>
      </c>
      <c r="B7" s="4" t="s">
        <v>4</v>
      </c>
      <c r="C7" s="2">
        <v>45214</v>
      </c>
      <c r="D7" s="1" t="s">
        <v>289</v>
      </c>
      <c r="E7" s="1" t="s">
        <v>122</v>
      </c>
      <c r="F7" s="1">
        <f>Albania_Policies_Table[[#This Row],[Rating]]*Albania_Policies_Table[[#This Row],[Impact Value]]</f>
        <v>1.32</v>
      </c>
      <c r="G7" s="1">
        <f>SUM(Albania_Policies_Table[[#This Row],[Impact on Country]:[Impact on EU Relations]])</f>
        <v>2</v>
      </c>
      <c r="H7" s="1">
        <v>1</v>
      </c>
      <c r="I7" s="1">
        <v>1</v>
      </c>
      <c r="J7" s="1">
        <v>-1</v>
      </c>
      <c r="K7" s="1">
        <v>1</v>
      </c>
      <c r="L7" s="63" cm="1">
        <f t="array" ref="L7">_xlfn.SWITCH(Albania_Policies_Table[[#This Row],[Impact]], "High", 1, "Medium", 0.66, "Low", 0.33)</f>
        <v>0.66</v>
      </c>
      <c r="M7" s="63" t="s">
        <v>490</v>
      </c>
      <c r="N7" s="63" t="s">
        <v>632</v>
      </c>
      <c r="O7" s="63" t="s">
        <v>437</v>
      </c>
      <c r="P7" s="11" t="s">
        <v>290</v>
      </c>
      <c r="Q7" s="63">
        <v>4</v>
      </c>
    </row>
    <row r="8" spans="1:17" x14ac:dyDescent="0.3">
      <c r="A8" s="10">
        <v>5</v>
      </c>
      <c r="B8" s="1" t="s">
        <v>4</v>
      </c>
      <c r="C8" s="2">
        <v>45427</v>
      </c>
      <c r="D8" s="1" t="s">
        <v>308</v>
      </c>
      <c r="E8" s="1" t="s">
        <v>120</v>
      </c>
      <c r="F8" s="1">
        <f>Albania_Policies_Table[[#This Row],[Rating]]*Albania_Policies_Table[[#This Row],[Impact Value]]</f>
        <v>0.33</v>
      </c>
      <c r="G8" s="1">
        <f>SUM(Albania_Policies_Table[[#This Row],[Impact on Country]:[Impact on EU Relations]])</f>
        <v>1</v>
      </c>
      <c r="H8" s="1">
        <v>1</v>
      </c>
      <c r="I8" s="1">
        <v>0</v>
      </c>
      <c r="J8" s="1">
        <v>-1</v>
      </c>
      <c r="K8" s="1">
        <v>1</v>
      </c>
      <c r="L8" s="63" cm="1">
        <f t="array" ref="L8">_xlfn.SWITCH(Albania_Policies_Table[[#This Row],[Impact]], "High", 1, "Medium", 0.66, "Low", 0.33)</f>
        <v>0.33</v>
      </c>
      <c r="M8" s="63" t="s">
        <v>491</v>
      </c>
      <c r="N8" s="63" t="s">
        <v>633</v>
      </c>
      <c r="O8" s="63" t="s">
        <v>393</v>
      </c>
      <c r="P8" s="11" t="s">
        <v>293</v>
      </c>
      <c r="Q8" s="63">
        <v>8</v>
      </c>
    </row>
    <row r="9" spans="1:17" x14ac:dyDescent="0.3">
      <c r="A9" s="14">
        <v>5</v>
      </c>
      <c r="B9" s="4" t="s">
        <v>4</v>
      </c>
      <c r="C9" s="5">
        <v>45576</v>
      </c>
      <c r="D9" s="4" t="s">
        <v>292</v>
      </c>
      <c r="E9" s="4" t="s">
        <v>122</v>
      </c>
      <c r="F9" s="1">
        <f>Albania_Policies_Table[[#This Row],[Rating]]*Albania_Policies_Table[[#This Row],[Impact Value]]</f>
        <v>-3</v>
      </c>
      <c r="G9" s="1">
        <f>SUM(Albania_Policies_Table[[#This Row],[Impact on Country]:[Impact on EU Relations]])</f>
        <v>-3</v>
      </c>
      <c r="H9" s="4">
        <v>0</v>
      </c>
      <c r="I9" s="4">
        <v>-1</v>
      </c>
      <c r="J9" s="4">
        <v>-1</v>
      </c>
      <c r="K9" s="4">
        <v>-1</v>
      </c>
      <c r="L9" s="63" cm="1">
        <f t="array" ref="L9">_xlfn.SWITCH(Albania_Policies_Table[[#This Row],[Impact]], "High", 1, "Medium", 0.66, "Low", 0.33)</f>
        <v>1</v>
      </c>
      <c r="M9" s="76" t="s">
        <v>489</v>
      </c>
      <c r="N9" s="76" t="s">
        <v>634</v>
      </c>
      <c r="O9" s="63" t="s">
        <v>386</v>
      </c>
      <c r="P9" s="50" t="s">
        <v>291</v>
      </c>
      <c r="Q9" s="76">
        <v>6</v>
      </c>
    </row>
    <row r="10" spans="1:17" x14ac:dyDescent="0.3">
      <c r="C10" s="52"/>
      <c r="P10" s="51"/>
    </row>
    <row r="11" spans="1:17" x14ac:dyDescent="0.3">
      <c r="C11" s="52"/>
      <c r="P11" s="51"/>
    </row>
    <row r="12" spans="1:17" x14ac:dyDescent="0.3">
      <c r="C12" s="52"/>
      <c r="P12" s="51"/>
    </row>
    <row r="13" spans="1:17" x14ac:dyDescent="0.3">
      <c r="C13" s="52"/>
      <c r="P13" s="51"/>
    </row>
    <row r="14" spans="1:17" x14ac:dyDescent="0.3">
      <c r="C14" s="52"/>
      <c r="P14" s="51"/>
    </row>
    <row r="15" spans="1:17" x14ac:dyDescent="0.3">
      <c r="C15" s="52"/>
      <c r="P15" s="51"/>
    </row>
    <row r="16" spans="1:17" x14ac:dyDescent="0.3">
      <c r="C16" s="52"/>
      <c r="P16" s="51"/>
    </row>
    <row r="17" spans="3:16" x14ac:dyDescent="0.3">
      <c r="C17" s="52"/>
      <c r="P17" s="51"/>
    </row>
  </sheetData>
  <phoneticPr fontId="9" type="noConversion"/>
  <hyperlinks>
    <hyperlink ref="P4" r:id="rId1" xr:uid="{572AEBC7-4FE9-4D8C-845C-217175F49DBA}"/>
    <hyperlink ref="P5" r:id="rId2" xr:uid="{A0D88BE5-B2E9-4595-AAEA-4F8D5E8500CE}"/>
    <hyperlink ref="P6" r:id="rId3" xr:uid="{739BDA29-D407-4EAC-BC1F-690EC1237FE0}"/>
    <hyperlink ref="P7" r:id="rId4" xr:uid="{AFD99747-E6B9-4EDF-B86F-AB37F31B1E17}"/>
    <hyperlink ref="P9" r:id="rId5" xr:uid="{C158EA4E-84C0-4AC7-A29E-F24469C84241}"/>
    <hyperlink ref="P8" r:id="rId6" xr:uid="{3C90795E-6937-49A9-8B9C-CEEF8FE61367}"/>
    <hyperlink ref="P2" r:id="rId7" xr:uid="{177D0F94-6CF8-4F22-8F1B-6F3E456A8A8E}"/>
    <hyperlink ref="P3" r:id="rId8" xr:uid="{19BA03EC-E565-48B4-973E-B357CD3A33AF}"/>
  </hyperlinks>
  <pageMargins left="0.7" right="0.7" top="0.75" bottom="0.75" header="0.3" footer="0.3"/>
  <tableParts count="1">
    <tablePart r:id="rId9"/>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B80E-6331-40AD-8975-FD890413A818}">
  <dimension ref="A1:C21"/>
  <sheetViews>
    <sheetView workbookViewId="0"/>
  </sheetViews>
  <sheetFormatPr defaultRowHeight="14.4" x14ac:dyDescent="0.3"/>
  <cols>
    <col min="1" max="1" width="10.77734375" bestFit="1" customWidth="1"/>
    <col min="2" max="2" width="15.44140625" bestFit="1" customWidth="1"/>
    <col min="3" max="3" width="13.77734375" bestFit="1" customWidth="1"/>
  </cols>
  <sheetData>
    <row r="1" spans="1:3" x14ac:dyDescent="0.3">
      <c r="A1" s="27" t="s">
        <v>243</v>
      </c>
      <c r="B1" s="27" t="s">
        <v>645</v>
      </c>
      <c r="C1" s="27" t="s">
        <v>644</v>
      </c>
    </row>
    <row r="2" spans="1:3" x14ac:dyDescent="0.3">
      <c r="A2">
        <v>2015</v>
      </c>
      <c r="B2">
        <v>0</v>
      </c>
      <c r="C2">
        <v>0</v>
      </c>
    </row>
    <row r="3" spans="1:3" x14ac:dyDescent="0.3">
      <c r="A3">
        <v>2016</v>
      </c>
      <c r="B3">
        <v>0.66</v>
      </c>
      <c r="C3">
        <f>C2+Albania_Rating[[#This Row],[Rating Change]]</f>
        <v>0.66</v>
      </c>
    </row>
    <row r="4" spans="1:3" x14ac:dyDescent="0.3">
      <c r="A4">
        <v>2017</v>
      </c>
      <c r="B4">
        <v>0</v>
      </c>
      <c r="C4">
        <f>C3+Albania_Rating[[#This Row],[Rating Change]]</f>
        <v>0.66</v>
      </c>
    </row>
    <row r="5" spans="1:3" x14ac:dyDescent="0.3">
      <c r="A5">
        <v>2018</v>
      </c>
      <c r="B5">
        <v>0</v>
      </c>
      <c r="C5">
        <f>C4+Albania_Rating[[#This Row],[Rating Change]]</f>
        <v>0.66</v>
      </c>
    </row>
    <row r="6" spans="1:3" x14ac:dyDescent="0.3">
      <c r="A6">
        <v>2019</v>
      </c>
      <c r="B6">
        <v>0.66</v>
      </c>
      <c r="C6">
        <f>C5+Albania_Rating[[#This Row],[Rating Change]]</f>
        <v>1.32</v>
      </c>
    </row>
    <row r="7" spans="1:3" x14ac:dyDescent="0.3">
      <c r="A7">
        <v>2020</v>
      </c>
      <c r="B7">
        <v>0.66</v>
      </c>
      <c r="C7">
        <f>C6+Albania_Rating[[#This Row],[Rating Change]]</f>
        <v>1.98</v>
      </c>
    </row>
    <row r="8" spans="1:3" x14ac:dyDescent="0.3">
      <c r="A8">
        <v>2021</v>
      </c>
      <c r="B8">
        <v>3</v>
      </c>
      <c r="C8">
        <f>C7+Albania_Rating[[#This Row],[Rating Change]]</f>
        <v>4.9800000000000004</v>
      </c>
    </row>
    <row r="9" spans="1:3" x14ac:dyDescent="0.3">
      <c r="A9">
        <v>2022</v>
      </c>
      <c r="B9">
        <v>0</v>
      </c>
      <c r="C9">
        <f>C8+Albania_Rating[[#This Row],[Rating Change]]</f>
        <v>4.9800000000000004</v>
      </c>
    </row>
    <row r="10" spans="1:3" x14ac:dyDescent="0.3">
      <c r="A10">
        <v>2023</v>
      </c>
      <c r="B10">
        <v>1.32</v>
      </c>
      <c r="C10">
        <f>C9+Albania_Rating[[#This Row],[Rating Change]]</f>
        <v>6.3000000000000007</v>
      </c>
    </row>
    <row r="11" spans="1:3" x14ac:dyDescent="0.3">
      <c r="A11">
        <v>2024</v>
      </c>
      <c r="B11">
        <v>-2.67</v>
      </c>
      <c r="C11">
        <f>C10+Albania_Rating[[#This Row],[Rating Change]]</f>
        <v>3.6300000000000008</v>
      </c>
    </row>
    <row r="12" spans="1:3" x14ac:dyDescent="0.3">
      <c r="A12">
        <v>2025</v>
      </c>
      <c r="B12">
        <v>0</v>
      </c>
      <c r="C12">
        <f>C11+Albania_Rating[[#This Row],[Rating Change]]</f>
        <v>3.6300000000000008</v>
      </c>
    </row>
    <row r="14" spans="1:3" x14ac:dyDescent="0.3">
      <c r="A14" s="55" t="s">
        <v>243</v>
      </c>
      <c r="B14" t="s">
        <v>643</v>
      </c>
    </row>
    <row r="15" spans="1:3" x14ac:dyDescent="0.3">
      <c r="A15" s="56" t="s">
        <v>311</v>
      </c>
      <c r="B15">
        <v>0.66</v>
      </c>
    </row>
    <row r="16" spans="1:3" x14ac:dyDescent="0.3">
      <c r="A16" s="56" t="s">
        <v>314</v>
      </c>
      <c r="B16">
        <v>0.66</v>
      </c>
    </row>
    <row r="17" spans="1:2" x14ac:dyDescent="0.3">
      <c r="A17" s="56" t="s">
        <v>315</v>
      </c>
      <c r="B17">
        <v>0.66</v>
      </c>
    </row>
    <row r="18" spans="1:2" x14ac:dyDescent="0.3">
      <c r="A18" s="56" t="s">
        <v>316</v>
      </c>
      <c r="B18">
        <v>3</v>
      </c>
    </row>
    <row r="19" spans="1:2" x14ac:dyDescent="0.3">
      <c r="A19" s="56" t="s">
        <v>318</v>
      </c>
      <c r="B19">
        <v>1.32</v>
      </c>
    </row>
    <row r="20" spans="1:2" x14ac:dyDescent="0.3">
      <c r="A20" s="56" t="s">
        <v>319</v>
      </c>
      <c r="B20">
        <v>-2.67</v>
      </c>
    </row>
    <row r="21" spans="1:2" x14ac:dyDescent="0.3">
      <c r="A21" s="56" t="s">
        <v>309</v>
      </c>
      <c r="B21">
        <v>3.6300000000000008</v>
      </c>
    </row>
  </sheetData>
  <pageMargins left="0.7" right="0.7" top="0.75" bottom="0.75" header="0.3" footer="0.3"/>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5BA02-68D2-46E2-8EA2-AD659F89DC90}">
  <dimension ref="A1:Q29"/>
  <sheetViews>
    <sheetView workbookViewId="0"/>
  </sheetViews>
  <sheetFormatPr defaultRowHeight="14.4" x14ac:dyDescent="0.3"/>
  <cols>
    <col min="1" max="1" width="12.21875" bestFit="1" customWidth="1"/>
    <col min="2" max="2" width="10" bestFit="1" customWidth="1"/>
    <col min="3" max="3" width="10.109375" bestFit="1" customWidth="1"/>
    <col min="4" max="4" width="74" bestFit="1" customWidth="1"/>
    <col min="5" max="5" width="19.33203125" bestFit="1" customWidth="1"/>
    <col min="6" max="6" width="17.88671875" bestFit="1" customWidth="1"/>
    <col min="7" max="7" width="8.5546875" bestFit="1" customWidth="1"/>
    <col min="8" max="8" width="19.109375" bestFit="1" customWidth="1"/>
    <col min="9" max="9" width="25.77734375" bestFit="1" customWidth="1"/>
    <col min="10" max="10" width="19.88671875" bestFit="1" customWidth="1"/>
    <col min="11" max="11" width="22.88671875" bestFit="1" customWidth="1"/>
    <col min="12" max="12" width="14.33203125" bestFit="1" customWidth="1"/>
    <col min="13" max="13" width="9.109375" bestFit="1" customWidth="1"/>
    <col min="14" max="14" width="50.77734375" customWidth="1"/>
    <col min="15" max="15" width="30.44140625" bestFit="1" customWidth="1"/>
    <col min="16" max="16" width="88.5546875" bestFit="1" customWidth="1"/>
    <col min="17" max="17" width="22.88671875" bestFit="1" customWidth="1"/>
  </cols>
  <sheetData>
    <row r="1" spans="1:17" s="81" customFormat="1" x14ac:dyDescent="0.3">
      <c r="A1" s="78" t="s">
        <v>10</v>
      </c>
      <c r="B1" s="79" t="s">
        <v>9</v>
      </c>
      <c r="C1" s="79" t="s">
        <v>72</v>
      </c>
      <c r="D1" s="79" t="s">
        <v>64</v>
      </c>
      <c r="E1" s="79" t="s">
        <v>71</v>
      </c>
      <c r="F1" s="79" t="s">
        <v>572</v>
      </c>
      <c r="G1" s="79" t="s">
        <v>239</v>
      </c>
      <c r="H1" s="79" t="s">
        <v>244</v>
      </c>
      <c r="I1" s="79" t="s">
        <v>240</v>
      </c>
      <c r="J1" s="79" t="s">
        <v>241</v>
      </c>
      <c r="K1" s="79" t="s">
        <v>242</v>
      </c>
      <c r="L1" s="81" t="s">
        <v>571</v>
      </c>
      <c r="M1" s="77" t="s">
        <v>487</v>
      </c>
      <c r="N1" s="77" t="s">
        <v>488</v>
      </c>
      <c r="O1" s="80" t="s">
        <v>384</v>
      </c>
      <c r="P1" s="80" t="s">
        <v>641</v>
      </c>
      <c r="Q1" s="79" t="s">
        <v>642</v>
      </c>
    </row>
    <row r="2" spans="1:17" ht="14.4" customHeight="1" x14ac:dyDescent="0.3">
      <c r="A2" s="10">
        <v>9</v>
      </c>
      <c r="B2" s="1" t="s">
        <v>3</v>
      </c>
      <c r="C2" s="2">
        <v>42461</v>
      </c>
      <c r="D2" s="1" t="s">
        <v>299</v>
      </c>
      <c r="E2" s="1" t="s">
        <v>123</v>
      </c>
      <c r="F2" s="1">
        <f>Kosovo_Policies_Table[[#This Row],[Rating]]*Kosovo_Policies_Table[[#This Row],[Impact Value]]</f>
        <v>1.32</v>
      </c>
      <c r="G2" s="1">
        <f>SUM(Kosovo_Policies_Table[[#This Row],[Impact on Country]:[Impact on EU Relations]])</f>
        <v>2</v>
      </c>
      <c r="H2" s="1">
        <v>1</v>
      </c>
      <c r="I2" s="1">
        <v>0</v>
      </c>
      <c r="J2" s="1">
        <v>0</v>
      </c>
      <c r="K2" s="1">
        <v>1</v>
      </c>
      <c r="L2" cm="1">
        <f t="array" ref="L2">_xlfn.SWITCH(Kosovo_Policies_Table[[#This Row],[Impact]], "High", 1, "Medium", 0.66, "Low", 0.33)</f>
        <v>0.66</v>
      </c>
      <c r="M2" s="26" t="s">
        <v>490</v>
      </c>
      <c r="N2" s="26" t="s">
        <v>635</v>
      </c>
      <c r="O2" s="63" t="s">
        <v>440</v>
      </c>
      <c r="P2" s="11" t="s">
        <v>300</v>
      </c>
      <c r="Q2">
        <v>3</v>
      </c>
    </row>
    <row r="3" spans="1:17" ht="14.4" customHeight="1" x14ac:dyDescent="0.3">
      <c r="A3" s="14">
        <v>9</v>
      </c>
      <c r="B3" s="4" t="s">
        <v>3</v>
      </c>
      <c r="C3" s="5">
        <v>43101</v>
      </c>
      <c r="D3" s="53" t="s">
        <v>307</v>
      </c>
      <c r="E3" s="4" t="s">
        <v>123</v>
      </c>
      <c r="F3" s="1">
        <f>Kosovo_Policies_Table[[#This Row],[Rating]]*Kosovo_Policies_Table[[#This Row],[Impact Value]]</f>
        <v>0</v>
      </c>
      <c r="G3" s="1">
        <f>SUM(Kosovo_Policies_Table[[#This Row],[Impact on Country]:[Impact on EU Relations]])</f>
        <v>0</v>
      </c>
      <c r="H3" s="4">
        <v>1</v>
      </c>
      <c r="I3" s="4">
        <v>0</v>
      </c>
      <c r="J3" s="4">
        <v>-1</v>
      </c>
      <c r="K3" s="4">
        <v>0</v>
      </c>
      <c r="L3" cm="1">
        <f t="array" ref="L3">_xlfn.SWITCH(Kosovo_Policies_Table[[#This Row],[Impact]], "High", 1, "Medium", 0.66, "Low", 0.33)</f>
        <v>0.33</v>
      </c>
      <c r="M3" s="26" t="s">
        <v>491</v>
      </c>
      <c r="N3" s="26" t="s">
        <v>636</v>
      </c>
      <c r="O3" s="63" t="s">
        <v>443</v>
      </c>
      <c r="P3" s="50" t="s">
        <v>298</v>
      </c>
      <c r="Q3">
        <v>3</v>
      </c>
    </row>
    <row r="4" spans="1:17" ht="14.4" customHeight="1" x14ac:dyDescent="0.3">
      <c r="A4" s="10">
        <v>9</v>
      </c>
      <c r="B4" s="1" t="s">
        <v>3</v>
      </c>
      <c r="C4" s="2">
        <v>43235</v>
      </c>
      <c r="D4" s="54" t="s">
        <v>304</v>
      </c>
      <c r="E4" s="1" t="s">
        <v>123</v>
      </c>
      <c r="F4" s="1">
        <f>Kosovo_Policies_Table[[#This Row],[Rating]]*Kosovo_Policies_Table[[#This Row],[Impact Value]]</f>
        <v>3</v>
      </c>
      <c r="G4" s="1">
        <f>SUM(Kosovo_Policies_Table[[#This Row],[Impact on Country]:[Impact on EU Relations]])</f>
        <v>3</v>
      </c>
      <c r="H4" s="1">
        <v>1</v>
      </c>
      <c r="I4" s="1">
        <v>0</v>
      </c>
      <c r="J4" s="1">
        <v>1</v>
      </c>
      <c r="K4" s="1">
        <v>1</v>
      </c>
      <c r="L4" cm="1">
        <f t="array" ref="L4">_xlfn.SWITCH(Kosovo_Policies_Table[[#This Row],[Impact]], "High", 1, "Medium", 0.66, "Low", 0.33)</f>
        <v>1</v>
      </c>
      <c r="M4" s="26" t="s">
        <v>489</v>
      </c>
      <c r="N4" s="26" t="s">
        <v>637</v>
      </c>
      <c r="O4" s="63" t="s">
        <v>441</v>
      </c>
      <c r="P4" s="11" t="s">
        <v>302</v>
      </c>
      <c r="Q4">
        <v>3</v>
      </c>
    </row>
    <row r="5" spans="1:17" ht="14.4" customHeight="1" x14ac:dyDescent="0.3">
      <c r="A5" s="10">
        <v>9</v>
      </c>
      <c r="B5" s="1" t="s">
        <v>3</v>
      </c>
      <c r="C5" s="2">
        <v>43670</v>
      </c>
      <c r="D5" s="54" t="s">
        <v>306</v>
      </c>
      <c r="E5" s="1" t="s">
        <v>123</v>
      </c>
      <c r="F5" s="1">
        <f>Kosovo_Policies_Table[[#This Row],[Rating]]*Kosovo_Policies_Table[[#This Row],[Impact Value]]</f>
        <v>1.98</v>
      </c>
      <c r="G5" s="1">
        <f>SUM(Kosovo_Policies_Table[[#This Row],[Impact on Country]:[Impact on EU Relations]])</f>
        <v>3</v>
      </c>
      <c r="H5" s="1">
        <v>1</v>
      </c>
      <c r="I5" s="1">
        <v>0</v>
      </c>
      <c r="J5" s="1">
        <v>1</v>
      </c>
      <c r="K5" s="1">
        <v>1</v>
      </c>
      <c r="L5" cm="1">
        <f t="array" ref="L5">_xlfn.SWITCH(Kosovo_Policies_Table[[#This Row],[Impact]], "High", 1, "Medium", 0.66, "Low", 0.33)</f>
        <v>0.66</v>
      </c>
      <c r="M5" s="26" t="s">
        <v>490</v>
      </c>
      <c r="N5" s="26" t="s">
        <v>638</v>
      </c>
      <c r="O5" s="63" t="s">
        <v>408</v>
      </c>
      <c r="P5" s="11" t="s">
        <v>305</v>
      </c>
      <c r="Q5">
        <v>4</v>
      </c>
    </row>
    <row r="6" spans="1:17" ht="14.4" customHeight="1" x14ac:dyDescent="0.3">
      <c r="A6" s="14">
        <v>9</v>
      </c>
      <c r="B6" s="4" t="s">
        <v>3</v>
      </c>
      <c r="C6" s="5">
        <v>44197</v>
      </c>
      <c r="D6" s="4" t="s">
        <v>301</v>
      </c>
      <c r="E6" s="4" t="s">
        <v>123</v>
      </c>
      <c r="F6" s="1">
        <f>Kosovo_Policies_Table[[#This Row],[Rating]]*Kosovo_Policies_Table[[#This Row],[Impact Value]]</f>
        <v>1.32</v>
      </c>
      <c r="G6" s="1">
        <f>SUM(Kosovo_Policies_Table[[#This Row],[Impact on Country]:[Impact on EU Relations]])</f>
        <v>2</v>
      </c>
      <c r="H6" s="4">
        <v>1</v>
      </c>
      <c r="I6" s="4">
        <v>0</v>
      </c>
      <c r="J6" s="4">
        <v>0</v>
      </c>
      <c r="K6" s="4">
        <v>1</v>
      </c>
      <c r="L6" cm="1">
        <f t="array" ref="L6">_xlfn.SWITCH(Kosovo_Policies_Table[[#This Row],[Impact]], "High", 1, "Medium", 0.66, "Low", 0.33)</f>
        <v>0.66</v>
      </c>
      <c r="M6" s="26" t="s">
        <v>490</v>
      </c>
      <c r="N6" s="26" t="s">
        <v>639</v>
      </c>
      <c r="O6" s="63" t="s">
        <v>442</v>
      </c>
      <c r="P6" s="50" t="s">
        <v>303</v>
      </c>
      <c r="Q6">
        <v>3</v>
      </c>
    </row>
    <row r="7" spans="1:17" ht="14.4" customHeight="1" x14ac:dyDescent="0.3">
      <c r="C7" s="52"/>
      <c r="P7" s="51"/>
    </row>
    <row r="8" spans="1:17" ht="14.4" customHeight="1" x14ac:dyDescent="0.3">
      <c r="C8" s="52"/>
      <c r="P8" s="51"/>
    </row>
    <row r="9" spans="1:17" ht="14.4" customHeight="1" x14ac:dyDescent="0.3">
      <c r="C9" s="52"/>
      <c r="P9" s="51"/>
    </row>
    <row r="10" spans="1:17" ht="14.4" customHeight="1" x14ac:dyDescent="0.3">
      <c r="C10" s="52"/>
      <c r="P10" s="51"/>
    </row>
    <row r="11" spans="1:17" ht="14.4" customHeight="1" x14ac:dyDescent="0.3">
      <c r="C11" s="52"/>
      <c r="P11" s="51"/>
    </row>
    <row r="12" spans="1:17" ht="14.4" customHeight="1" x14ac:dyDescent="0.3">
      <c r="C12" s="52"/>
      <c r="P12" s="51"/>
    </row>
    <row r="13" spans="1:17" ht="14.4" customHeight="1" x14ac:dyDescent="0.3">
      <c r="C13" s="52"/>
      <c r="P13" s="51"/>
    </row>
    <row r="14" spans="1:17" ht="14.4" customHeight="1" x14ac:dyDescent="0.3">
      <c r="C14" s="52"/>
      <c r="P14" s="51"/>
    </row>
    <row r="15" spans="1:17" ht="14.4" customHeight="1" x14ac:dyDescent="0.3">
      <c r="C15" s="52"/>
      <c r="P15" s="51"/>
    </row>
    <row r="16" spans="1:17" ht="14.4" customHeight="1" x14ac:dyDescent="0.3">
      <c r="C16" s="52"/>
      <c r="P16" s="51"/>
    </row>
    <row r="17" ht="14.4" customHeight="1" x14ac:dyDescent="0.3"/>
    <row r="18" ht="14.4" customHeight="1" x14ac:dyDescent="0.3"/>
    <row r="19" ht="14.4" customHeight="1" x14ac:dyDescent="0.3"/>
    <row r="20" ht="14.4" customHeight="1" x14ac:dyDescent="0.3"/>
    <row r="21" ht="14.4" customHeight="1" x14ac:dyDescent="0.3"/>
    <row r="22" ht="14.4" customHeight="1" x14ac:dyDescent="0.3"/>
    <row r="23" ht="14.4" customHeight="1" x14ac:dyDescent="0.3"/>
    <row r="24" ht="14.4" customHeight="1" x14ac:dyDescent="0.3"/>
    <row r="25" ht="14.4" customHeight="1" x14ac:dyDescent="0.3"/>
    <row r="26" ht="14.4" customHeight="1" x14ac:dyDescent="0.3"/>
    <row r="27" ht="14.4" customHeight="1" x14ac:dyDescent="0.3"/>
    <row r="28" ht="14.4" customHeight="1" x14ac:dyDescent="0.3"/>
    <row r="29" ht="14.4" customHeight="1" x14ac:dyDescent="0.3"/>
  </sheetData>
  <phoneticPr fontId="9" type="noConversion"/>
  <hyperlinks>
    <hyperlink ref="P3" r:id="rId1" xr:uid="{87595908-EEEA-49F0-97F3-D5070E2528FA}"/>
    <hyperlink ref="P2" r:id="rId2" xr:uid="{FCF06B30-C7DA-48CB-A531-EC7EAB024A3E}"/>
    <hyperlink ref="P4" r:id="rId3" xr:uid="{D9478CE9-A746-4A00-8E2C-F3F0058BA916}"/>
    <hyperlink ref="P6" r:id="rId4" xr:uid="{AD6FA857-FFB6-4F66-AE77-2762A5653866}"/>
    <hyperlink ref="P5" r:id="rId5" xr:uid="{17C74475-CB9A-4F7F-AD77-0854580C0EC6}"/>
  </hyperlinks>
  <pageMargins left="0.7" right="0.7" top="0.75" bottom="0.75" header="0.3" footer="0.3"/>
  <tableParts count="1">
    <tablePart r:id="rId6"/>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E7605-E857-442D-BE09-05172D001ACF}">
  <dimension ref="A1:C19"/>
  <sheetViews>
    <sheetView workbookViewId="0"/>
  </sheetViews>
  <sheetFormatPr defaultRowHeight="14.4" x14ac:dyDescent="0.3"/>
  <cols>
    <col min="1" max="1" width="10.77734375" bestFit="1" customWidth="1"/>
    <col min="2" max="2" width="15.44140625" bestFit="1" customWidth="1"/>
    <col min="3" max="3" width="13.77734375" bestFit="1" customWidth="1"/>
  </cols>
  <sheetData>
    <row r="1" spans="1:3" x14ac:dyDescent="0.3">
      <c r="A1" s="27" t="s">
        <v>243</v>
      </c>
      <c r="B1" s="27" t="s">
        <v>645</v>
      </c>
      <c r="C1" s="27" t="s">
        <v>644</v>
      </c>
    </row>
    <row r="2" spans="1:3" x14ac:dyDescent="0.3">
      <c r="A2">
        <v>2015</v>
      </c>
      <c r="B2">
        <v>0</v>
      </c>
      <c r="C2">
        <v>0</v>
      </c>
    </row>
    <row r="3" spans="1:3" x14ac:dyDescent="0.3">
      <c r="A3">
        <v>2016</v>
      </c>
      <c r="B3">
        <v>1.32</v>
      </c>
      <c r="C3">
        <f>C2+Kosovo_Rating[[#This Row],[Rating Change]]</f>
        <v>1.32</v>
      </c>
    </row>
    <row r="4" spans="1:3" x14ac:dyDescent="0.3">
      <c r="A4">
        <v>2017</v>
      </c>
      <c r="B4">
        <v>0</v>
      </c>
      <c r="C4">
        <f>C3+Kosovo_Rating[[#This Row],[Rating Change]]</f>
        <v>1.32</v>
      </c>
    </row>
    <row r="5" spans="1:3" x14ac:dyDescent="0.3">
      <c r="A5">
        <v>2018</v>
      </c>
      <c r="B5">
        <v>3</v>
      </c>
      <c r="C5">
        <f>C4+Kosovo_Rating[[#This Row],[Rating Change]]</f>
        <v>4.32</v>
      </c>
    </row>
    <row r="6" spans="1:3" x14ac:dyDescent="0.3">
      <c r="A6">
        <v>2019</v>
      </c>
      <c r="B6">
        <v>1.98</v>
      </c>
      <c r="C6">
        <f>C5+Kosovo_Rating[[#This Row],[Rating Change]]</f>
        <v>6.3000000000000007</v>
      </c>
    </row>
    <row r="7" spans="1:3" x14ac:dyDescent="0.3">
      <c r="A7">
        <v>2020</v>
      </c>
      <c r="B7">
        <v>0</v>
      </c>
      <c r="C7">
        <f>C6+Kosovo_Rating[[#This Row],[Rating Change]]</f>
        <v>6.3000000000000007</v>
      </c>
    </row>
    <row r="8" spans="1:3" x14ac:dyDescent="0.3">
      <c r="A8">
        <v>2021</v>
      </c>
      <c r="B8">
        <v>1.32</v>
      </c>
      <c r="C8">
        <f>C7+Kosovo_Rating[[#This Row],[Rating Change]]</f>
        <v>7.620000000000001</v>
      </c>
    </row>
    <row r="9" spans="1:3" x14ac:dyDescent="0.3">
      <c r="A9">
        <v>2022</v>
      </c>
      <c r="B9">
        <v>0</v>
      </c>
      <c r="C9">
        <f>C8+Kosovo_Rating[[#This Row],[Rating Change]]</f>
        <v>7.620000000000001</v>
      </c>
    </row>
    <row r="10" spans="1:3" x14ac:dyDescent="0.3">
      <c r="A10">
        <v>2023</v>
      </c>
      <c r="B10">
        <v>0</v>
      </c>
      <c r="C10">
        <f>C9+Kosovo_Rating[[#This Row],[Rating Change]]</f>
        <v>7.620000000000001</v>
      </c>
    </row>
    <row r="11" spans="1:3" x14ac:dyDescent="0.3">
      <c r="A11">
        <v>2024</v>
      </c>
      <c r="B11">
        <v>0</v>
      </c>
      <c r="C11">
        <f>C10+Kosovo_Rating[[#This Row],[Rating Change]]</f>
        <v>7.620000000000001</v>
      </c>
    </row>
    <row r="12" spans="1:3" x14ac:dyDescent="0.3">
      <c r="A12">
        <v>2025</v>
      </c>
      <c r="B12">
        <v>0</v>
      </c>
      <c r="C12">
        <f>C11+Kosovo_Rating[[#This Row],[Rating Change]]</f>
        <v>7.620000000000001</v>
      </c>
    </row>
    <row r="14" spans="1:3" x14ac:dyDescent="0.3">
      <c r="A14" s="55" t="s">
        <v>243</v>
      </c>
      <c r="B14" t="s">
        <v>643</v>
      </c>
    </row>
    <row r="15" spans="1:3" x14ac:dyDescent="0.3">
      <c r="A15" s="56" t="s">
        <v>311</v>
      </c>
      <c r="B15">
        <v>1.32</v>
      </c>
    </row>
    <row r="16" spans="1:3" x14ac:dyDescent="0.3">
      <c r="A16" s="56" t="s">
        <v>313</v>
      </c>
      <c r="B16">
        <v>3</v>
      </c>
    </row>
    <row r="17" spans="1:2" x14ac:dyDescent="0.3">
      <c r="A17" s="56" t="s">
        <v>314</v>
      </c>
      <c r="B17">
        <v>1.98</v>
      </c>
    </row>
    <row r="18" spans="1:2" x14ac:dyDescent="0.3">
      <c r="A18" s="56" t="s">
        <v>316</v>
      </c>
      <c r="B18">
        <v>1.32</v>
      </c>
    </row>
    <row r="19" spans="1:2" x14ac:dyDescent="0.3">
      <c r="A19" s="56" t="s">
        <v>309</v>
      </c>
      <c r="B19">
        <v>7.620000000000001</v>
      </c>
    </row>
  </sheetData>
  <pageMargins left="0.7" right="0.7" top="0.75" bottom="0.75" header="0.3" footer="0.3"/>
  <drawing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CB79E-BD93-4C7D-B94C-5C1814B9EB2E}">
  <dimension ref="A1:Q32"/>
  <sheetViews>
    <sheetView workbookViewId="0"/>
  </sheetViews>
  <sheetFormatPr defaultRowHeight="14.4" x14ac:dyDescent="0.3"/>
  <cols>
    <col min="1" max="1" width="11.88671875" customWidth="1"/>
    <col min="2" max="2" width="9.6640625" customWidth="1"/>
    <col min="3" max="3" width="12.21875" customWidth="1"/>
    <col min="4" max="4" width="120.88671875" bestFit="1" customWidth="1"/>
    <col min="5" max="5" width="33.21875" bestFit="1" customWidth="1"/>
    <col min="6" max="6" width="17.88671875" bestFit="1" customWidth="1"/>
    <col min="7" max="7" width="8.5546875" bestFit="1" customWidth="1"/>
    <col min="8" max="8" width="19.109375" bestFit="1" customWidth="1"/>
    <col min="9" max="9" width="25.77734375" bestFit="1" customWidth="1"/>
    <col min="10" max="10" width="19.88671875" bestFit="1" customWidth="1"/>
    <col min="11" max="11" width="22.88671875" bestFit="1" customWidth="1"/>
    <col min="12" max="12" width="14.33203125" bestFit="1" customWidth="1"/>
    <col min="13" max="13" width="9.109375" bestFit="1" customWidth="1"/>
    <col min="14" max="14" width="50.77734375" customWidth="1"/>
    <col min="15" max="15" width="42.77734375" bestFit="1" customWidth="1"/>
    <col min="16" max="16" width="121.21875" bestFit="1" customWidth="1"/>
    <col min="17" max="17" width="22.88671875" bestFit="1" customWidth="1"/>
  </cols>
  <sheetData>
    <row r="1" spans="1:17" x14ac:dyDescent="0.3">
      <c r="A1" s="12" t="s">
        <v>10</v>
      </c>
      <c r="B1" s="13" t="s">
        <v>9</v>
      </c>
      <c r="C1" s="13" t="s">
        <v>18</v>
      </c>
      <c r="D1" s="13" t="s">
        <v>64</v>
      </c>
      <c r="E1" s="13" t="s">
        <v>71</v>
      </c>
      <c r="F1" s="13" t="s">
        <v>572</v>
      </c>
      <c r="G1" s="13" t="s">
        <v>239</v>
      </c>
      <c r="H1" s="13" t="s">
        <v>244</v>
      </c>
      <c r="I1" s="13" t="s">
        <v>240</v>
      </c>
      <c r="J1" s="13" t="s">
        <v>241</v>
      </c>
      <c r="K1" s="13" t="s">
        <v>242</v>
      </c>
      <c r="L1" s="13" t="s">
        <v>571</v>
      </c>
      <c r="M1" s="13" t="s">
        <v>487</v>
      </c>
      <c r="N1" s="13" t="s">
        <v>488</v>
      </c>
      <c r="O1" s="13" t="s">
        <v>384</v>
      </c>
      <c r="P1" s="13" t="s">
        <v>641</v>
      </c>
      <c r="Q1" s="13" t="s">
        <v>642</v>
      </c>
    </row>
    <row r="2" spans="1:17" x14ac:dyDescent="0.3">
      <c r="A2" s="10">
        <v>11</v>
      </c>
      <c r="B2" s="1" t="s">
        <v>7</v>
      </c>
      <c r="C2" s="2">
        <v>42295</v>
      </c>
      <c r="D2" s="1" t="s">
        <v>13</v>
      </c>
      <c r="E2" s="1" t="s">
        <v>120</v>
      </c>
      <c r="F2" s="1">
        <f>Slovenia_Policies_Table[[#This Row],[Rating]]*Slovenia_Policies_Table[[#This Row],[Impact Value]]</f>
        <v>-2</v>
      </c>
      <c r="G2" s="1">
        <f>SUM(Slovenia_Policies_Table[[#This Row],[Impact on Country]:[Impact on EU Relations]])</f>
        <v>-2</v>
      </c>
      <c r="H2" s="1">
        <v>0</v>
      </c>
      <c r="I2" s="1">
        <v>-1</v>
      </c>
      <c r="J2" s="1">
        <v>-1</v>
      </c>
      <c r="K2" s="1">
        <v>0</v>
      </c>
      <c r="L2" s="75" cm="1">
        <f t="array" ref="L2">_xlfn.SWITCH(Slovenia_Policies_Table[[#This Row],[Impact]], "High", 1, "Medium", 0.66, "Low", 0.33)</f>
        <v>1</v>
      </c>
      <c r="M2" s="1" t="s">
        <v>489</v>
      </c>
      <c r="N2" s="1" t="s">
        <v>492</v>
      </c>
      <c r="O2" s="1" t="s">
        <v>385</v>
      </c>
      <c r="P2" s="3" t="s">
        <v>11</v>
      </c>
      <c r="Q2">
        <v>4</v>
      </c>
    </row>
    <row r="3" spans="1:17" x14ac:dyDescent="0.3">
      <c r="A3" s="10">
        <v>11</v>
      </c>
      <c r="B3" s="1" t="s">
        <v>7</v>
      </c>
      <c r="C3" s="2">
        <v>42298</v>
      </c>
      <c r="D3" s="1" t="s">
        <v>14</v>
      </c>
      <c r="E3" s="1" t="s">
        <v>120</v>
      </c>
      <c r="F3" s="1">
        <f>Slovenia_Policies_Table[[#This Row],[Rating]]*Slovenia_Policies_Table[[#This Row],[Impact Value]]</f>
        <v>0</v>
      </c>
      <c r="G3" s="1">
        <f>SUM(Slovenia_Policies_Table[[#This Row],[Impact on Country]:[Impact on EU Relations]])</f>
        <v>0</v>
      </c>
      <c r="H3" s="1">
        <v>1</v>
      </c>
      <c r="I3" s="1">
        <v>0</v>
      </c>
      <c r="J3" s="1">
        <v>-1</v>
      </c>
      <c r="K3" s="1">
        <v>0</v>
      </c>
      <c r="L3" s="75" cm="1">
        <f t="array" ref="L3">_xlfn.SWITCH(Slovenia_Policies_Table[[#This Row],[Impact]], "High", 1, "Medium", 0.66, "Low", 0.33)</f>
        <v>0.66</v>
      </c>
      <c r="M3" s="1" t="s">
        <v>490</v>
      </c>
      <c r="N3" s="1" t="s">
        <v>493</v>
      </c>
      <c r="O3" s="1" t="s">
        <v>386</v>
      </c>
      <c r="P3" s="3" t="s">
        <v>12</v>
      </c>
      <c r="Q3">
        <v>6</v>
      </c>
    </row>
    <row r="4" spans="1:17" x14ac:dyDescent="0.3">
      <c r="A4" s="10">
        <v>11</v>
      </c>
      <c r="B4" s="1" t="s">
        <v>7</v>
      </c>
      <c r="C4" s="2">
        <v>42299</v>
      </c>
      <c r="D4" s="1" t="s">
        <v>16</v>
      </c>
      <c r="E4" s="1" t="s">
        <v>122</v>
      </c>
      <c r="F4" s="1">
        <f>Slovenia_Policies_Table[[#This Row],[Rating]]*Slovenia_Policies_Table[[#This Row],[Impact Value]]</f>
        <v>1.98</v>
      </c>
      <c r="G4" s="1">
        <f>SUM(Slovenia_Policies_Table[[#This Row],[Impact on Country]:[Impact on EU Relations]])</f>
        <v>3</v>
      </c>
      <c r="H4" s="1">
        <v>1</v>
      </c>
      <c r="I4" s="1">
        <v>1</v>
      </c>
      <c r="J4" s="1">
        <v>0</v>
      </c>
      <c r="K4" s="1">
        <v>1</v>
      </c>
      <c r="L4" s="75" cm="1">
        <f t="array" ref="L4">_xlfn.SWITCH(Slovenia_Policies_Table[[#This Row],[Impact]], "High", 1, "Medium", 0.66, "Low", 0.33)</f>
        <v>0.66</v>
      </c>
      <c r="M4" s="1" t="s">
        <v>490</v>
      </c>
      <c r="N4" s="1" t="s">
        <v>494</v>
      </c>
      <c r="O4" s="1" t="s">
        <v>385</v>
      </c>
      <c r="P4" s="3" t="s">
        <v>15</v>
      </c>
      <c r="Q4">
        <v>6</v>
      </c>
    </row>
    <row r="5" spans="1:17" x14ac:dyDescent="0.3">
      <c r="A5" s="10">
        <v>11</v>
      </c>
      <c r="B5" s="1" t="s">
        <v>7</v>
      </c>
      <c r="C5" s="2">
        <v>42319</v>
      </c>
      <c r="D5" s="1" t="s">
        <v>17</v>
      </c>
      <c r="E5" s="1" t="s">
        <v>120</v>
      </c>
      <c r="F5" s="1">
        <f>Slovenia_Policies_Table[[#This Row],[Rating]]*Slovenia_Policies_Table[[#This Row],[Impact Value]]</f>
        <v>-3</v>
      </c>
      <c r="G5" s="1">
        <f>SUM(Slovenia_Policies_Table[[#This Row],[Impact on Country]:[Impact on EU Relations]])</f>
        <v>-3</v>
      </c>
      <c r="H5" s="1">
        <v>0</v>
      </c>
      <c r="I5" s="1">
        <v>-1</v>
      </c>
      <c r="J5" s="1">
        <v>-1</v>
      </c>
      <c r="K5" s="1">
        <v>-1</v>
      </c>
      <c r="L5" s="75" cm="1">
        <f t="array" ref="L5">_xlfn.SWITCH(Slovenia_Policies_Table[[#This Row],[Impact]], "High", 1, "Medium", 0.66, "Low", 0.33)</f>
        <v>1</v>
      </c>
      <c r="M5" s="1" t="s">
        <v>489</v>
      </c>
      <c r="N5" s="1" t="s">
        <v>495</v>
      </c>
      <c r="O5" s="1" t="s">
        <v>387</v>
      </c>
      <c r="P5" s="3" t="s">
        <v>8</v>
      </c>
      <c r="Q5">
        <v>5</v>
      </c>
    </row>
    <row r="6" spans="1:17" x14ac:dyDescent="0.3">
      <c r="A6" s="10">
        <v>11</v>
      </c>
      <c r="B6" s="1" t="s">
        <v>7</v>
      </c>
      <c r="C6" s="2">
        <v>42423</v>
      </c>
      <c r="D6" s="1" t="s">
        <v>19</v>
      </c>
      <c r="E6" s="1" t="s">
        <v>120</v>
      </c>
      <c r="F6" s="1">
        <f>Slovenia_Policies_Table[[#This Row],[Rating]]*Slovenia_Policies_Table[[#This Row],[Impact Value]]</f>
        <v>0</v>
      </c>
      <c r="G6" s="1">
        <f>SUM(Slovenia_Policies_Table[[#This Row],[Impact on Country]:[Impact on EU Relations]])</f>
        <v>0</v>
      </c>
      <c r="H6" s="1">
        <v>1</v>
      </c>
      <c r="I6" s="1">
        <v>0</v>
      </c>
      <c r="J6" s="1">
        <v>-1</v>
      </c>
      <c r="K6" s="1">
        <v>0</v>
      </c>
      <c r="L6" s="75" cm="1">
        <f t="array" ref="L6">_xlfn.SWITCH(Slovenia_Policies_Table[[#This Row],[Impact]], "High", 1, "Medium", 0.66, "Low", 0.33)</f>
        <v>0.66</v>
      </c>
      <c r="M6" s="1" t="s">
        <v>490</v>
      </c>
      <c r="N6" s="1" t="s">
        <v>496</v>
      </c>
      <c r="O6" s="1" t="s">
        <v>385</v>
      </c>
      <c r="P6" s="3" t="s">
        <v>20</v>
      </c>
      <c r="Q6">
        <v>6</v>
      </c>
    </row>
    <row r="7" spans="1:17" x14ac:dyDescent="0.3">
      <c r="A7" s="10">
        <v>11</v>
      </c>
      <c r="B7" s="1" t="s">
        <v>7</v>
      </c>
      <c r="C7" s="2">
        <v>42426</v>
      </c>
      <c r="D7" s="1" t="s">
        <v>21</v>
      </c>
      <c r="E7" s="1" t="s">
        <v>120</v>
      </c>
      <c r="F7" s="1">
        <f>Slovenia_Policies_Table[[#This Row],[Rating]]*Slovenia_Policies_Table[[#This Row],[Impact Value]]</f>
        <v>-2</v>
      </c>
      <c r="G7" s="1">
        <f>SUM(Slovenia_Policies_Table[[#This Row],[Impact on Country]:[Impact on EU Relations]])</f>
        <v>-2</v>
      </c>
      <c r="H7" s="1">
        <v>0</v>
      </c>
      <c r="I7" s="1">
        <v>-1</v>
      </c>
      <c r="J7" s="1">
        <v>-1</v>
      </c>
      <c r="K7" s="1">
        <v>0</v>
      </c>
      <c r="L7" s="75" cm="1">
        <f t="array" ref="L7">_xlfn.SWITCH(Slovenia_Policies_Table[[#This Row],[Impact]], "High", 1, "Medium", 0.66, "Low", 0.33)</f>
        <v>1</v>
      </c>
      <c r="M7" s="1" t="s">
        <v>489</v>
      </c>
      <c r="N7" s="1" t="s">
        <v>497</v>
      </c>
      <c r="O7" s="1" t="s">
        <v>386</v>
      </c>
      <c r="P7" s="3" t="s">
        <v>22</v>
      </c>
      <c r="Q7">
        <v>4</v>
      </c>
    </row>
    <row r="8" spans="1:17" x14ac:dyDescent="0.3">
      <c r="A8" s="10">
        <v>11</v>
      </c>
      <c r="B8" s="1" t="s">
        <v>7</v>
      </c>
      <c r="C8" s="2">
        <v>42434</v>
      </c>
      <c r="D8" s="1" t="s">
        <v>23</v>
      </c>
      <c r="E8" s="1" t="s">
        <v>123</v>
      </c>
      <c r="F8" s="1">
        <f>Slovenia_Policies_Table[[#This Row],[Rating]]*Slovenia_Policies_Table[[#This Row],[Impact Value]]</f>
        <v>0</v>
      </c>
      <c r="G8" s="1">
        <f>SUM(Slovenia_Policies_Table[[#This Row],[Impact on Country]:[Impact on EU Relations]])</f>
        <v>0</v>
      </c>
      <c r="H8" s="1">
        <v>1</v>
      </c>
      <c r="I8" s="1">
        <v>0</v>
      </c>
      <c r="J8" s="1">
        <v>-1</v>
      </c>
      <c r="K8" s="1">
        <v>0</v>
      </c>
      <c r="L8" s="75" cm="1">
        <f t="array" ref="L8">_xlfn.SWITCH(Slovenia_Policies_Table[[#This Row],[Impact]], "High", 1, "Medium", 0.66, "Low", 0.33)</f>
        <v>0.66</v>
      </c>
      <c r="M8" s="1" t="s">
        <v>490</v>
      </c>
      <c r="N8" s="1" t="s">
        <v>498</v>
      </c>
      <c r="O8" s="1" t="s">
        <v>385</v>
      </c>
      <c r="P8" s="3" t="s">
        <v>24</v>
      </c>
      <c r="Q8">
        <v>5</v>
      </c>
    </row>
    <row r="9" spans="1:17" x14ac:dyDescent="0.3">
      <c r="A9" s="10">
        <v>11</v>
      </c>
      <c r="B9" s="1" t="s">
        <v>7</v>
      </c>
      <c r="C9" s="2">
        <v>42438</v>
      </c>
      <c r="D9" s="1" t="s">
        <v>25</v>
      </c>
      <c r="E9" s="1" t="s">
        <v>120</v>
      </c>
      <c r="F9" s="1">
        <f>Slovenia_Policies_Table[[#This Row],[Rating]]*Slovenia_Policies_Table[[#This Row],[Impact Value]]</f>
        <v>-1</v>
      </c>
      <c r="G9" s="1">
        <f>SUM(Slovenia_Policies_Table[[#This Row],[Impact on Country]:[Impact on EU Relations]])</f>
        <v>-1</v>
      </c>
      <c r="H9" s="1">
        <v>1</v>
      </c>
      <c r="I9" s="1">
        <v>-1</v>
      </c>
      <c r="J9" s="1">
        <v>-1</v>
      </c>
      <c r="K9" s="1">
        <v>0</v>
      </c>
      <c r="L9" s="75" cm="1">
        <f t="array" ref="L9">_xlfn.SWITCH(Slovenia_Policies_Table[[#This Row],[Impact]], "High", 1, "Medium", 0.66, "Low", 0.33)</f>
        <v>1</v>
      </c>
      <c r="M9" s="1" t="s">
        <v>489</v>
      </c>
      <c r="N9" s="1" t="s">
        <v>499</v>
      </c>
      <c r="O9" s="1" t="s">
        <v>388</v>
      </c>
      <c r="P9" s="3" t="s">
        <v>26</v>
      </c>
      <c r="Q9">
        <v>4</v>
      </c>
    </row>
    <row r="10" spans="1:17" x14ac:dyDescent="0.3">
      <c r="A10" s="10">
        <v>11</v>
      </c>
      <c r="B10" s="1" t="s">
        <v>7</v>
      </c>
      <c r="C10" s="2">
        <v>42484</v>
      </c>
      <c r="D10" s="1" t="s">
        <v>27</v>
      </c>
      <c r="E10" s="1" t="s">
        <v>123</v>
      </c>
      <c r="F10" s="1">
        <f>Slovenia_Policies_Table[[#This Row],[Rating]]*Slovenia_Policies_Table[[#This Row],[Impact Value]]</f>
        <v>2</v>
      </c>
      <c r="G10" s="1">
        <f>SUM(Slovenia_Policies_Table[[#This Row],[Impact on Country]:[Impact on EU Relations]])</f>
        <v>2</v>
      </c>
      <c r="H10" s="1">
        <v>1</v>
      </c>
      <c r="I10" s="1">
        <v>0</v>
      </c>
      <c r="J10" s="1">
        <v>0</v>
      </c>
      <c r="K10" s="1">
        <v>1</v>
      </c>
      <c r="L10" s="75" cm="1">
        <f t="array" ref="L10">_xlfn.SWITCH(Slovenia_Policies_Table[[#This Row],[Impact]], "High", 1, "Medium", 0.66, "Low", 0.33)</f>
        <v>1</v>
      </c>
      <c r="M10" s="1" t="s">
        <v>489</v>
      </c>
      <c r="N10" s="1" t="s">
        <v>500</v>
      </c>
      <c r="O10" s="1" t="s">
        <v>412</v>
      </c>
      <c r="P10" s="3" t="s">
        <v>28</v>
      </c>
      <c r="Q10">
        <v>3</v>
      </c>
    </row>
    <row r="11" spans="1:17" x14ac:dyDescent="0.3">
      <c r="A11" s="10">
        <v>11</v>
      </c>
      <c r="B11" s="1" t="s">
        <v>7</v>
      </c>
      <c r="C11" s="2">
        <v>42736</v>
      </c>
      <c r="D11" s="1" t="s">
        <v>33</v>
      </c>
      <c r="E11" s="1" t="s">
        <v>123</v>
      </c>
      <c r="F11" s="1">
        <f>Slovenia_Policies_Table[[#This Row],[Rating]]*Slovenia_Policies_Table[[#This Row],[Impact Value]]</f>
        <v>1.98</v>
      </c>
      <c r="G11" s="1">
        <f>SUM(Slovenia_Policies_Table[[#This Row],[Impact on Country]:[Impact on EU Relations]])</f>
        <v>3</v>
      </c>
      <c r="H11" s="1">
        <v>1</v>
      </c>
      <c r="I11" s="1">
        <v>0</v>
      </c>
      <c r="J11" s="1">
        <v>1</v>
      </c>
      <c r="K11" s="1">
        <v>1</v>
      </c>
      <c r="L11" s="75" cm="1">
        <f t="array" ref="L11">_xlfn.SWITCH(Slovenia_Policies_Table[[#This Row],[Impact]], "High", 1, "Medium", 0.66, "Low", 0.33)</f>
        <v>0.66</v>
      </c>
      <c r="M11" s="1" t="s">
        <v>490</v>
      </c>
      <c r="N11" s="1" t="s">
        <v>501</v>
      </c>
      <c r="O11" s="1" t="s">
        <v>412</v>
      </c>
      <c r="P11" s="3" t="s">
        <v>34</v>
      </c>
      <c r="Q11">
        <v>3</v>
      </c>
    </row>
    <row r="12" spans="1:17" x14ac:dyDescent="0.3">
      <c r="A12" s="10">
        <v>11</v>
      </c>
      <c r="B12" s="1" t="s">
        <v>7</v>
      </c>
      <c r="C12" s="2">
        <v>42761</v>
      </c>
      <c r="D12" s="1" t="s">
        <v>29</v>
      </c>
      <c r="E12" s="1" t="s">
        <v>123</v>
      </c>
      <c r="F12" s="1">
        <f>Slovenia_Policies_Table[[#This Row],[Rating]]*Slovenia_Policies_Table[[#This Row],[Impact Value]]</f>
        <v>-2</v>
      </c>
      <c r="G12" s="1">
        <f>SUM(Slovenia_Policies_Table[[#This Row],[Impact on Country]:[Impact on EU Relations]])</f>
        <v>-2</v>
      </c>
      <c r="H12" s="1">
        <v>1</v>
      </c>
      <c r="I12" s="1">
        <v>-1</v>
      </c>
      <c r="J12" s="1">
        <v>-1</v>
      </c>
      <c r="K12" s="1">
        <v>-1</v>
      </c>
      <c r="L12" s="75" cm="1">
        <f t="array" ref="L12">_xlfn.SWITCH(Slovenia_Policies_Table[[#This Row],[Impact]], "High", 1, "Medium", 0.66, "Low", 0.33)</f>
        <v>1</v>
      </c>
      <c r="M12" s="1" t="s">
        <v>489</v>
      </c>
      <c r="N12" s="1" t="s">
        <v>502</v>
      </c>
      <c r="O12" s="1" t="s">
        <v>389</v>
      </c>
      <c r="P12" s="3" t="s">
        <v>382</v>
      </c>
      <c r="Q12">
        <v>4</v>
      </c>
    </row>
    <row r="13" spans="1:17" x14ac:dyDescent="0.3">
      <c r="A13" s="10">
        <v>11</v>
      </c>
      <c r="B13" s="1" t="s">
        <v>7</v>
      </c>
      <c r="C13" s="2">
        <v>43191</v>
      </c>
      <c r="D13" s="1" t="s">
        <v>31</v>
      </c>
      <c r="E13" s="1" t="s">
        <v>122</v>
      </c>
      <c r="F13" s="1">
        <f>Slovenia_Policies_Table[[#This Row],[Rating]]*Slovenia_Policies_Table[[#This Row],[Impact Value]]</f>
        <v>2.64</v>
      </c>
      <c r="G13" s="1">
        <f>SUM(Slovenia_Policies_Table[[#This Row],[Impact on Country]:[Impact on EU Relations]])</f>
        <v>4</v>
      </c>
      <c r="H13" s="1">
        <v>1</v>
      </c>
      <c r="I13" s="1">
        <v>1</v>
      </c>
      <c r="J13" s="1">
        <v>1</v>
      </c>
      <c r="K13" s="1">
        <v>1</v>
      </c>
      <c r="L13" s="75" cm="1">
        <f t="array" ref="L13">_xlfn.SWITCH(Slovenia_Policies_Table[[#This Row],[Impact]], "High", 1, "Medium", 0.66, "Low", 0.33)</f>
        <v>0.66</v>
      </c>
      <c r="M13" s="1" t="s">
        <v>490</v>
      </c>
      <c r="N13" s="1" t="s">
        <v>503</v>
      </c>
      <c r="O13" s="1" t="s">
        <v>404</v>
      </c>
      <c r="P13" s="3" t="s">
        <v>30</v>
      </c>
      <c r="Q13">
        <v>5</v>
      </c>
    </row>
    <row r="14" spans="1:17" x14ac:dyDescent="0.3">
      <c r="A14" s="10">
        <v>11</v>
      </c>
      <c r="B14" s="1" t="s">
        <v>7</v>
      </c>
      <c r="C14" s="2">
        <v>43390</v>
      </c>
      <c r="D14" s="1" t="s">
        <v>32</v>
      </c>
      <c r="E14" s="1" t="s">
        <v>122</v>
      </c>
      <c r="F14" s="1">
        <f>Slovenia_Policies_Table[[#This Row],[Rating]]*Slovenia_Policies_Table[[#This Row],[Impact Value]]</f>
        <v>1.32</v>
      </c>
      <c r="G14" s="1">
        <f>SUM(Slovenia_Policies_Table[[#This Row],[Impact on Country]:[Impact on EU Relations]])</f>
        <v>4</v>
      </c>
      <c r="H14" s="1">
        <v>1</v>
      </c>
      <c r="I14" s="1">
        <v>1</v>
      </c>
      <c r="J14" s="1">
        <v>1</v>
      </c>
      <c r="K14" s="1">
        <v>1</v>
      </c>
      <c r="L14" s="75" cm="1">
        <f t="array" ref="L14">_xlfn.SWITCH(Slovenia_Policies_Table[[#This Row],[Impact]], "High", 1, "Medium", 0.66, "Low", 0.33)</f>
        <v>0.33</v>
      </c>
      <c r="M14" s="1" t="s">
        <v>491</v>
      </c>
      <c r="N14" s="1" t="s">
        <v>504</v>
      </c>
      <c r="O14" s="1" t="s">
        <v>405</v>
      </c>
      <c r="P14" s="3" t="s">
        <v>30</v>
      </c>
      <c r="Q14">
        <v>5</v>
      </c>
    </row>
    <row r="15" spans="1:17" x14ac:dyDescent="0.3">
      <c r="A15" s="10">
        <v>11</v>
      </c>
      <c r="B15" s="1" t="s">
        <v>7</v>
      </c>
      <c r="C15" s="2">
        <v>43664</v>
      </c>
      <c r="D15" s="1" t="s">
        <v>126</v>
      </c>
      <c r="E15" s="1" t="s">
        <v>123</v>
      </c>
      <c r="F15" s="1">
        <f>Slovenia_Policies_Table[[#This Row],[Rating]]*Slovenia_Policies_Table[[#This Row],[Impact Value]]</f>
        <v>1.32</v>
      </c>
      <c r="G15" s="1">
        <f>SUM(Slovenia_Policies_Table[[#This Row],[Impact on Country]:[Impact on EU Relations]])</f>
        <v>2</v>
      </c>
      <c r="H15" s="1">
        <v>1</v>
      </c>
      <c r="I15" s="1">
        <v>0</v>
      </c>
      <c r="J15" s="1">
        <v>0</v>
      </c>
      <c r="K15" s="1">
        <v>1</v>
      </c>
      <c r="L15" s="75" cm="1">
        <f t="array" ref="L15">_xlfn.SWITCH(Slovenia_Policies_Table[[#This Row],[Impact]], "High", 1, "Medium", 0.66, "Low", 0.33)</f>
        <v>0.66</v>
      </c>
      <c r="M15" s="1" t="s">
        <v>490</v>
      </c>
      <c r="N15" s="1" t="s">
        <v>505</v>
      </c>
      <c r="O15" s="1" t="s">
        <v>390</v>
      </c>
      <c r="P15" s="3" t="s">
        <v>61</v>
      </c>
      <c r="Q15">
        <v>3</v>
      </c>
    </row>
    <row r="16" spans="1:17" x14ac:dyDescent="0.3">
      <c r="A16" s="10">
        <v>11</v>
      </c>
      <c r="B16" s="1" t="s">
        <v>7</v>
      </c>
      <c r="C16" s="2">
        <v>43699</v>
      </c>
      <c r="D16" s="1" t="s">
        <v>35</v>
      </c>
      <c r="E16" s="1" t="s">
        <v>120</v>
      </c>
      <c r="F16" s="1">
        <f>Slovenia_Policies_Table[[#This Row],[Rating]]*Slovenia_Policies_Table[[#This Row],[Impact Value]]</f>
        <v>-1.98</v>
      </c>
      <c r="G16" s="1">
        <f>SUM(Slovenia_Policies_Table[[#This Row],[Impact on Country]:[Impact on EU Relations]])</f>
        <v>-3</v>
      </c>
      <c r="H16" s="1">
        <v>0</v>
      </c>
      <c r="I16" s="1">
        <v>-1</v>
      </c>
      <c r="J16" s="1">
        <v>-1</v>
      </c>
      <c r="K16" s="1">
        <v>-1</v>
      </c>
      <c r="L16" s="75" cm="1">
        <f t="array" ref="L16">_xlfn.SWITCH(Slovenia_Policies_Table[[#This Row],[Impact]], "High", 1, "Medium", 0.66, "Low", 0.33)</f>
        <v>0.66</v>
      </c>
      <c r="M16" s="1" t="s">
        <v>490</v>
      </c>
      <c r="N16" s="1" t="s">
        <v>506</v>
      </c>
      <c r="O16" s="1" t="s">
        <v>391</v>
      </c>
      <c r="P16" s="3" t="s">
        <v>36</v>
      </c>
      <c r="Q16">
        <v>6</v>
      </c>
    </row>
    <row r="17" spans="1:17" x14ac:dyDescent="0.3">
      <c r="A17" s="10">
        <v>11</v>
      </c>
      <c r="B17" s="1" t="s">
        <v>7</v>
      </c>
      <c r="C17" s="2">
        <v>43922</v>
      </c>
      <c r="D17" s="1" t="s">
        <v>38</v>
      </c>
      <c r="E17" s="1" t="s">
        <v>121</v>
      </c>
      <c r="F17" s="1">
        <f>Slovenia_Policies_Table[[#This Row],[Rating]]*Slovenia_Policies_Table[[#This Row],[Impact Value]]</f>
        <v>-1</v>
      </c>
      <c r="G17" s="1">
        <f>SUM(Slovenia_Policies_Table[[#This Row],[Impact on Country]:[Impact on EU Relations]])</f>
        <v>-1</v>
      </c>
      <c r="H17" s="1">
        <v>0</v>
      </c>
      <c r="I17" s="1">
        <v>0</v>
      </c>
      <c r="J17" s="1">
        <v>-1</v>
      </c>
      <c r="K17" s="1">
        <v>0</v>
      </c>
      <c r="L17" s="75" cm="1">
        <f t="array" ref="L17">_xlfn.SWITCH(Slovenia_Policies_Table[[#This Row],[Impact]], "High", 1, "Medium", 0.66, "Low", 0.33)</f>
        <v>1</v>
      </c>
      <c r="M17" s="1" t="s">
        <v>489</v>
      </c>
      <c r="N17" s="1" t="s">
        <v>507</v>
      </c>
      <c r="O17" s="1" t="s">
        <v>392</v>
      </c>
      <c r="P17" s="3" t="s">
        <v>37</v>
      </c>
      <c r="Q17">
        <v>5</v>
      </c>
    </row>
    <row r="18" spans="1:17" x14ac:dyDescent="0.3">
      <c r="A18" s="10">
        <v>11</v>
      </c>
      <c r="B18" s="1" t="s">
        <v>7</v>
      </c>
      <c r="C18" s="2">
        <v>44281</v>
      </c>
      <c r="D18" s="1" t="s">
        <v>40</v>
      </c>
      <c r="E18" s="1" t="s">
        <v>123</v>
      </c>
      <c r="F18" s="1">
        <f>Slovenia_Policies_Table[[#This Row],[Rating]]*Slovenia_Policies_Table[[#This Row],[Impact Value]]</f>
        <v>-2</v>
      </c>
      <c r="G18" s="1">
        <f>SUM(Slovenia_Policies_Table[[#This Row],[Impact on Country]:[Impact on EU Relations]])</f>
        <v>-2</v>
      </c>
      <c r="H18" s="1">
        <v>1</v>
      </c>
      <c r="I18" s="1">
        <v>-1</v>
      </c>
      <c r="J18" s="1">
        <v>-1</v>
      </c>
      <c r="K18" s="1">
        <v>-1</v>
      </c>
      <c r="L18" s="75" cm="1">
        <f t="array" ref="L18">_xlfn.SWITCH(Slovenia_Policies_Table[[#This Row],[Impact]], "High", 1, "Medium", 0.66, "Low", 0.33)</f>
        <v>1</v>
      </c>
      <c r="M18" s="1" t="s">
        <v>489</v>
      </c>
      <c r="N18" s="1" t="s">
        <v>508</v>
      </c>
      <c r="O18" s="1" t="s">
        <v>392</v>
      </c>
      <c r="P18" s="3" t="s">
        <v>39</v>
      </c>
      <c r="Q18">
        <v>5</v>
      </c>
    </row>
    <row r="19" spans="1:17" x14ac:dyDescent="0.3">
      <c r="A19" s="10">
        <v>11</v>
      </c>
      <c r="B19" s="1" t="s">
        <v>7</v>
      </c>
      <c r="C19" s="2">
        <v>44509</v>
      </c>
      <c r="D19" s="1" t="s">
        <v>41</v>
      </c>
      <c r="E19" s="1" t="s">
        <v>123</v>
      </c>
      <c r="F19" s="1">
        <f>Slovenia_Policies_Table[[#This Row],[Rating]]*Slovenia_Policies_Table[[#This Row],[Impact Value]]</f>
        <v>-1.32</v>
      </c>
      <c r="G19" s="1">
        <f>SUM(Slovenia_Policies_Table[[#This Row],[Impact on Country]:[Impact on EU Relations]])</f>
        <v>-2</v>
      </c>
      <c r="H19" s="1">
        <v>1</v>
      </c>
      <c r="I19" s="1">
        <v>-1</v>
      </c>
      <c r="J19" s="1">
        <v>-1</v>
      </c>
      <c r="K19" s="1">
        <v>-1</v>
      </c>
      <c r="L19" s="75" cm="1">
        <f t="array" ref="L19">_xlfn.SWITCH(Slovenia_Policies_Table[[#This Row],[Impact]], "High", 1, "Medium", 0.66, "Low", 0.33)</f>
        <v>0.66</v>
      </c>
      <c r="M19" s="1" t="s">
        <v>490</v>
      </c>
      <c r="N19" s="1" t="s">
        <v>509</v>
      </c>
      <c r="O19" s="1" t="s">
        <v>392</v>
      </c>
      <c r="P19" s="3" t="s">
        <v>42</v>
      </c>
      <c r="Q19">
        <v>5</v>
      </c>
    </row>
    <row r="20" spans="1:17" x14ac:dyDescent="0.3">
      <c r="A20" s="10">
        <v>11</v>
      </c>
      <c r="B20" s="1" t="s">
        <v>7</v>
      </c>
      <c r="C20" s="2">
        <v>44734</v>
      </c>
      <c r="D20" s="1" t="s">
        <v>62</v>
      </c>
      <c r="E20" s="1" t="s">
        <v>122</v>
      </c>
      <c r="F20" s="1">
        <f>Slovenia_Policies_Table[[#This Row],[Rating]]*Slovenia_Policies_Table[[#This Row],[Impact Value]]</f>
        <v>0.99</v>
      </c>
      <c r="G20" s="1">
        <f>SUM(Slovenia_Policies_Table[[#This Row],[Impact on Country]:[Impact on EU Relations]])</f>
        <v>3</v>
      </c>
      <c r="H20" s="1">
        <v>1</v>
      </c>
      <c r="I20" s="1">
        <v>1</v>
      </c>
      <c r="J20" s="1">
        <v>0</v>
      </c>
      <c r="K20" s="1">
        <v>1</v>
      </c>
      <c r="L20" s="75" cm="1">
        <f t="array" ref="L20">_xlfn.SWITCH(Slovenia_Policies_Table[[#This Row],[Impact]], "High", 1, "Medium", 0.66, "Low", 0.33)</f>
        <v>0.33</v>
      </c>
      <c r="M20" s="1" t="s">
        <v>491</v>
      </c>
      <c r="N20" s="1" t="s">
        <v>510</v>
      </c>
      <c r="O20" s="1" t="s">
        <v>390</v>
      </c>
      <c r="P20" s="3" t="s">
        <v>63</v>
      </c>
      <c r="Q20">
        <v>7</v>
      </c>
    </row>
    <row r="21" spans="1:17" x14ac:dyDescent="0.3">
      <c r="A21" s="10">
        <v>11</v>
      </c>
      <c r="B21" s="1" t="s">
        <v>7</v>
      </c>
      <c r="C21" s="2">
        <v>44756</v>
      </c>
      <c r="D21" s="1" t="s">
        <v>43</v>
      </c>
      <c r="E21" s="1" t="s">
        <v>120</v>
      </c>
      <c r="F21" s="1">
        <f>Slovenia_Policies_Table[[#This Row],[Rating]]*Slovenia_Policies_Table[[#This Row],[Impact Value]]</f>
        <v>4</v>
      </c>
      <c r="G21" s="1">
        <f>SUM(Slovenia_Policies_Table[[#This Row],[Impact on Country]:[Impact on EU Relations]])</f>
        <v>4</v>
      </c>
      <c r="H21" s="1">
        <v>1</v>
      </c>
      <c r="I21" s="1">
        <v>1</v>
      </c>
      <c r="J21" s="1">
        <v>1</v>
      </c>
      <c r="K21" s="1">
        <v>1</v>
      </c>
      <c r="L21" s="75" cm="1">
        <f t="array" ref="L21">_xlfn.SWITCH(Slovenia_Policies_Table[[#This Row],[Impact]], "High", 1, "Medium", 0.66, "Low", 0.33)</f>
        <v>1</v>
      </c>
      <c r="M21" s="1" t="s">
        <v>489</v>
      </c>
      <c r="N21" s="1" t="s">
        <v>511</v>
      </c>
      <c r="O21" s="1" t="s">
        <v>393</v>
      </c>
      <c r="P21" s="3" t="s">
        <v>44</v>
      </c>
      <c r="Q21">
        <v>6</v>
      </c>
    </row>
    <row r="22" spans="1:17" x14ac:dyDescent="0.3">
      <c r="A22" s="10">
        <v>11</v>
      </c>
      <c r="B22" s="1" t="s">
        <v>7</v>
      </c>
      <c r="C22" s="2">
        <v>44896</v>
      </c>
      <c r="D22" s="1" t="s">
        <v>45</v>
      </c>
      <c r="E22" s="1" t="s">
        <v>122</v>
      </c>
      <c r="F22" s="1">
        <f>Slovenia_Policies_Table[[#This Row],[Rating]]*Slovenia_Policies_Table[[#This Row],[Impact Value]]</f>
        <v>2.64</v>
      </c>
      <c r="G22" s="1">
        <f>SUM(Slovenia_Policies_Table[[#This Row],[Impact on Country]:[Impact on EU Relations]])</f>
        <v>4</v>
      </c>
      <c r="H22" s="1">
        <v>1</v>
      </c>
      <c r="I22" s="1">
        <v>1</v>
      </c>
      <c r="J22" s="1">
        <v>1</v>
      </c>
      <c r="K22" s="1">
        <v>1</v>
      </c>
      <c r="L22" s="75" cm="1">
        <f t="array" ref="L22">_xlfn.SWITCH(Slovenia_Policies_Table[[#This Row],[Impact]], "High", 1, "Medium", 0.66, "Low", 0.33)</f>
        <v>0.66</v>
      </c>
      <c r="M22" s="1" t="s">
        <v>490</v>
      </c>
      <c r="N22" s="1" t="s">
        <v>512</v>
      </c>
      <c r="O22" s="1" t="s">
        <v>390</v>
      </c>
      <c r="P22" s="3" t="s">
        <v>46</v>
      </c>
      <c r="Q22">
        <v>3</v>
      </c>
    </row>
    <row r="23" spans="1:17" x14ac:dyDescent="0.3">
      <c r="A23" s="10">
        <v>11</v>
      </c>
      <c r="B23" s="1" t="s">
        <v>7</v>
      </c>
      <c r="C23" s="2">
        <v>44944</v>
      </c>
      <c r="D23" s="1" t="s">
        <v>65</v>
      </c>
      <c r="E23" t="s">
        <v>123</v>
      </c>
      <c r="F23" s="1">
        <f>Slovenia_Policies_Table[[#This Row],[Rating]]*Slovenia_Policies_Table[[#This Row],[Impact Value]]</f>
        <v>1.98</v>
      </c>
      <c r="G23" s="1">
        <f>SUM(Slovenia_Policies_Table[[#This Row],[Impact on Country]:[Impact on EU Relations]])</f>
        <v>3</v>
      </c>
      <c r="H23" s="1">
        <v>1</v>
      </c>
      <c r="I23" s="1">
        <v>0</v>
      </c>
      <c r="J23" s="1">
        <v>1</v>
      </c>
      <c r="K23" s="1">
        <v>1</v>
      </c>
      <c r="L23" s="75" cm="1">
        <f t="array" ref="L23">_xlfn.SWITCH(Slovenia_Policies_Table[[#This Row],[Impact]], "High", 1, "Medium", 0.66, "Low", 0.33)</f>
        <v>0.66</v>
      </c>
      <c r="M23" s="1" t="s">
        <v>490</v>
      </c>
      <c r="N23" s="1" t="s">
        <v>513</v>
      </c>
      <c r="O23" s="1" t="s">
        <v>390</v>
      </c>
      <c r="P23" s="3" t="s">
        <v>66</v>
      </c>
      <c r="Q23">
        <v>5</v>
      </c>
    </row>
    <row r="24" spans="1:17" x14ac:dyDescent="0.3">
      <c r="A24" s="10">
        <v>11</v>
      </c>
      <c r="B24" s="1" t="s">
        <v>7</v>
      </c>
      <c r="C24" s="2">
        <v>45013</v>
      </c>
      <c r="D24" s="1" t="s">
        <v>47</v>
      </c>
      <c r="E24" t="s">
        <v>123</v>
      </c>
      <c r="F24" s="1">
        <f>Slovenia_Policies_Table[[#This Row],[Rating]]*Slovenia_Policies_Table[[#This Row],[Impact Value]]</f>
        <v>3</v>
      </c>
      <c r="G24" s="1">
        <f>SUM(Slovenia_Policies_Table[[#This Row],[Impact on Country]:[Impact on EU Relations]])</f>
        <v>3</v>
      </c>
      <c r="H24" s="1">
        <v>1</v>
      </c>
      <c r="I24" s="1">
        <v>0</v>
      </c>
      <c r="J24" s="1">
        <v>1</v>
      </c>
      <c r="K24" s="1">
        <v>1</v>
      </c>
      <c r="L24" s="75" cm="1">
        <f t="array" ref="L24">_xlfn.SWITCH(Slovenia_Policies_Table[[#This Row],[Impact]], "High", 1, "Medium", 0.66, "Low", 0.33)</f>
        <v>1</v>
      </c>
      <c r="M24" s="1" t="s">
        <v>489</v>
      </c>
      <c r="N24" s="1" t="s">
        <v>514</v>
      </c>
      <c r="O24" s="1" t="s">
        <v>390</v>
      </c>
      <c r="P24" s="3" t="s">
        <v>48</v>
      </c>
      <c r="Q24">
        <v>4</v>
      </c>
    </row>
    <row r="25" spans="1:17" x14ac:dyDescent="0.3">
      <c r="A25" s="10">
        <v>11</v>
      </c>
      <c r="B25" s="1" t="s">
        <v>7</v>
      </c>
      <c r="C25" s="2">
        <v>45219</v>
      </c>
      <c r="D25" s="1" t="s">
        <v>49</v>
      </c>
      <c r="E25" s="1" t="s">
        <v>120</v>
      </c>
      <c r="F25" s="1">
        <f>Slovenia_Policies_Table[[#This Row],[Rating]]*Slovenia_Policies_Table[[#This Row],[Impact Value]]</f>
        <v>-3</v>
      </c>
      <c r="G25" s="1">
        <f>SUM(Slovenia_Policies_Table[[#This Row],[Impact on Country]:[Impact on EU Relations]])</f>
        <v>-3</v>
      </c>
      <c r="H25" s="1">
        <v>0</v>
      </c>
      <c r="I25" s="1">
        <v>-1</v>
      </c>
      <c r="J25" s="1">
        <v>-1</v>
      </c>
      <c r="K25" s="1">
        <v>-1</v>
      </c>
      <c r="L25" s="75" cm="1">
        <f t="array" ref="L25">_xlfn.SWITCH(Slovenia_Policies_Table[[#This Row],[Impact]], "High", 1, "Medium", 0.66, "Low", 0.33)</f>
        <v>1</v>
      </c>
      <c r="M25" s="1" t="s">
        <v>489</v>
      </c>
      <c r="N25" s="1" t="s">
        <v>515</v>
      </c>
      <c r="O25" s="1" t="s">
        <v>394</v>
      </c>
      <c r="P25" s="3" t="s">
        <v>55</v>
      </c>
      <c r="Q25">
        <v>5</v>
      </c>
    </row>
    <row r="26" spans="1:17" x14ac:dyDescent="0.3">
      <c r="A26" s="10">
        <v>11</v>
      </c>
      <c r="B26" s="1" t="s">
        <v>7</v>
      </c>
      <c r="C26" s="2">
        <v>45275</v>
      </c>
      <c r="D26" s="1" t="s">
        <v>50</v>
      </c>
      <c r="E26" s="1" t="s">
        <v>122</v>
      </c>
      <c r="F26" s="1">
        <f>Slovenia_Policies_Table[[#This Row],[Rating]]*Slovenia_Policies_Table[[#This Row],[Impact Value]]</f>
        <v>1.32</v>
      </c>
      <c r="G26" s="1">
        <f>SUM(Slovenia_Policies_Table[[#This Row],[Impact on Country]:[Impact on EU Relations]])</f>
        <v>4</v>
      </c>
      <c r="H26" s="1">
        <v>1</v>
      </c>
      <c r="I26" s="1">
        <v>1</v>
      </c>
      <c r="J26" s="1">
        <v>1</v>
      </c>
      <c r="K26" s="1">
        <v>1</v>
      </c>
      <c r="L26" s="75" cm="1">
        <f t="array" ref="L26">_xlfn.SWITCH(Slovenia_Policies_Table[[#This Row],[Impact]], "High", 1, "Medium", 0.66, "Low", 0.33)</f>
        <v>0.33</v>
      </c>
      <c r="M26" s="1" t="s">
        <v>491</v>
      </c>
      <c r="N26" s="1" t="s">
        <v>516</v>
      </c>
      <c r="O26" s="1" t="s">
        <v>390</v>
      </c>
      <c r="P26" s="3" t="s">
        <v>56</v>
      </c>
      <c r="Q26">
        <v>6</v>
      </c>
    </row>
    <row r="27" spans="1:17" x14ac:dyDescent="0.3">
      <c r="A27" s="10">
        <v>11</v>
      </c>
      <c r="B27" s="1" t="s">
        <v>7</v>
      </c>
      <c r="C27" s="2">
        <v>45434</v>
      </c>
      <c r="D27" s="1" t="s">
        <v>51</v>
      </c>
      <c r="E27" s="1" t="s">
        <v>120</v>
      </c>
      <c r="F27" s="1">
        <f>Slovenia_Policies_Table[[#This Row],[Rating]]*Slovenia_Policies_Table[[#This Row],[Impact Value]]</f>
        <v>-1.98</v>
      </c>
      <c r="G27" s="1">
        <f>SUM(Slovenia_Policies_Table[[#This Row],[Impact on Country]:[Impact on EU Relations]])</f>
        <v>-3</v>
      </c>
      <c r="H27" s="1">
        <v>0</v>
      </c>
      <c r="I27" s="1">
        <v>-1</v>
      </c>
      <c r="J27" s="1">
        <v>-1</v>
      </c>
      <c r="K27" s="1">
        <v>-1</v>
      </c>
      <c r="L27" s="75" cm="1">
        <f t="array" ref="L27">_xlfn.SWITCH(Slovenia_Policies_Table[[#This Row],[Impact]], "High", 1, "Medium", 0.66, "Low", 0.33)</f>
        <v>0.66</v>
      </c>
      <c r="M27" s="1" t="s">
        <v>490</v>
      </c>
      <c r="N27" s="1" t="s">
        <v>517</v>
      </c>
      <c r="O27" s="1" t="s">
        <v>390</v>
      </c>
      <c r="P27" s="3" t="s">
        <v>57</v>
      </c>
      <c r="Q27">
        <v>5</v>
      </c>
    </row>
    <row r="28" spans="1:17" x14ac:dyDescent="0.3">
      <c r="A28" s="10">
        <v>11</v>
      </c>
      <c r="B28" s="1" t="s">
        <v>7</v>
      </c>
      <c r="C28" s="2">
        <v>45462</v>
      </c>
      <c r="D28" s="1" t="s">
        <v>52</v>
      </c>
      <c r="E28" s="1" t="s">
        <v>120</v>
      </c>
      <c r="F28" s="1">
        <f>Slovenia_Policies_Table[[#This Row],[Rating]]*Slovenia_Policies_Table[[#This Row],[Impact Value]]</f>
        <v>-0.99</v>
      </c>
      <c r="G28" s="1">
        <f>SUM(Slovenia_Policies_Table[[#This Row],[Impact on Country]:[Impact on EU Relations]])</f>
        <v>-3</v>
      </c>
      <c r="H28" s="1">
        <v>0</v>
      </c>
      <c r="I28" s="1">
        <v>-1</v>
      </c>
      <c r="J28" s="1">
        <v>-1</v>
      </c>
      <c r="K28" s="1">
        <v>-1</v>
      </c>
      <c r="L28" s="75" cm="1">
        <f t="array" ref="L28">_xlfn.SWITCH(Slovenia_Policies_Table[[#This Row],[Impact]], "High", 1, "Medium", 0.66, "Low", 0.33)</f>
        <v>0.33</v>
      </c>
      <c r="M28" s="1" t="s">
        <v>491</v>
      </c>
      <c r="N28" s="1" t="s">
        <v>518</v>
      </c>
      <c r="O28" s="1" t="s">
        <v>390</v>
      </c>
      <c r="P28" s="3" t="s">
        <v>58</v>
      </c>
      <c r="Q28">
        <v>5</v>
      </c>
    </row>
    <row r="29" spans="1:17" x14ac:dyDescent="0.3">
      <c r="A29" s="10">
        <v>11</v>
      </c>
      <c r="B29" s="1" t="s">
        <v>7</v>
      </c>
      <c r="C29" s="2">
        <v>45597</v>
      </c>
      <c r="D29" s="1" t="s">
        <v>67</v>
      </c>
      <c r="E29" t="s">
        <v>123</v>
      </c>
      <c r="F29" s="1">
        <f>Slovenia_Policies_Table[[#This Row],[Rating]]*Slovenia_Policies_Table[[#This Row],[Impact Value]]</f>
        <v>-0.66</v>
      </c>
      <c r="G29" s="1">
        <f>SUM(Slovenia_Policies_Table[[#This Row],[Impact on Country]:[Impact on EU Relations]])</f>
        <v>-1</v>
      </c>
      <c r="H29" s="1">
        <v>0</v>
      </c>
      <c r="I29" s="1">
        <v>0</v>
      </c>
      <c r="J29" s="1">
        <v>-1</v>
      </c>
      <c r="K29" s="1">
        <v>0</v>
      </c>
      <c r="L29" s="75" cm="1">
        <f t="array" ref="L29">_xlfn.SWITCH(Slovenia_Policies_Table[[#This Row],[Impact]], "High", 1, "Medium", 0.66, "Low", 0.33)</f>
        <v>0.66</v>
      </c>
      <c r="M29" s="1" t="s">
        <v>490</v>
      </c>
      <c r="N29" s="1" t="s">
        <v>519</v>
      </c>
      <c r="O29" s="1" t="s">
        <v>395</v>
      </c>
      <c r="P29" s="3" t="s">
        <v>68</v>
      </c>
      <c r="Q29">
        <v>6</v>
      </c>
    </row>
    <row r="30" spans="1:17" x14ac:dyDescent="0.3">
      <c r="A30" s="10">
        <v>11</v>
      </c>
      <c r="B30" s="1" t="s">
        <v>7</v>
      </c>
      <c r="C30" s="2">
        <v>45646</v>
      </c>
      <c r="D30" s="1" t="s">
        <v>53</v>
      </c>
      <c r="E30" s="1" t="s">
        <v>120</v>
      </c>
      <c r="F30" s="1">
        <f>Slovenia_Policies_Table[[#This Row],[Rating]]*Slovenia_Policies_Table[[#This Row],[Impact Value]]</f>
        <v>-1.98</v>
      </c>
      <c r="G30" s="1">
        <f>SUM(Slovenia_Policies_Table[[#This Row],[Impact on Country]:[Impact on EU Relations]])</f>
        <v>-3</v>
      </c>
      <c r="H30" s="1">
        <v>0</v>
      </c>
      <c r="I30" s="1">
        <v>-1</v>
      </c>
      <c r="J30" s="1">
        <v>-1</v>
      </c>
      <c r="K30" s="1">
        <v>-1</v>
      </c>
      <c r="L30" s="75" cm="1">
        <f t="array" ref="L30">_xlfn.SWITCH(Slovenia_Policies_Table[[#This Row],[Impact]], "High", 1, "Medium", 0.66, "Low", 0.33)</f>
        <v>0.66</v>
      </c>
      <c r="M30" s="1" t="s">
        <v>490</v>
      </c>
      <c r="N30" s="1" t="s">
        <v>520</v>
      </c>
      <c r="O30" s="1" t="s">
        <v>390</v>
      </c>
      <c r="P30" s="3" t="s">
        <v>59</v>
      </c>
      <c r="Q30">
        <v>5</v>
      </c>
    </row>
    <row r="31" spans="1:17" x14ac:dyDescent="0.3">
      <c r="A31" s="10">
        <v>11</v>
      </c>
      <c r="B31" s="1" t="s">
        <v>7</v>
      </c>
      <c r="C31" s="2">
        <v>45309</v>
      </c>
      <c r="D31" s="1" t="s">
        <v>69</v>
      </c>
      <c r="E31" t="s">
        <v>121</v>
      </c>
      <c r="F31" s="1">
        <f>Slovenia_Policies_Table[[#This Row],[Rating]]*Slovenia_Policies_Table[[#This Row],[Impact Value]]</f>
        <v>-0.66</v>
      </c>
      <c r="G31" s="1">
        <f>SUM(Slovenia_Policies_Table[[#This Row],[Impact on Country]:[Impact on EU Relations]])</f>
        <v>-1</v>
      </c>
      <c r="H31" s="1">
        <v>0</v>
      </c>
      <c r="I31" s="1">
        <v>-1</v>
      </c>
      <c r="J31" s="1">
        <v>0</v>
      </c>
      <c r="K31" s="1">
        <v>0</v>
      </c>
      <c r="L31" s="75" cm="1">
        <f t="array" ref="L31">_xlfn.SWITCH(Slovenia_Policies_Table[[#This Row],[Impact]], "High", 1, "Medium", 0.66, "Low", 0.33)</f>
        <v>0.66</v>
      </c>
      <c r="M31" s="1" t="s">
        <v>490</v>
      </c>
      <c r="N31" s="1" t="s">
        <v>521</v>
      </c>
      <c r="O31" s="1" t="s">
        <v>393</v>
      </c>
      <c r="P31" s="3" t="s">
        <v>70</v>
      </c>
      <c r="Q31">
        <v>7</v>
      </c>
    </row>
    <row r="32" spans="1:17" x14ac:dyDescent="0.3">
      <c r="A32" s="14">
        <v>11</v>
      </c>
      <c r="B32" s="4" t="s">
        <v>7</v>
      </c>
      <c r="C32" s="5">
        <v>45677</v>
      </c>
      <c r="D32" s="4" t="s">
        <v>54</v>
      </c>
      <c r="E32" s="4" t="s">
        <v>122</v>
      </c>
      <c r="F32" s="1">
        <f>Slovenia_Policies_Table[[#This Row],[Rating]]*Slovenia_Policies_Table[[#This Row],[Impact Value]]</f>
        <v>2</v>
      </c>
      <c r="G32" s="1">
        <f>SUM(Slovenia_Policies_Table[[#This Row],[Impact on Country]:[Impact on EU Relations]])</f>
        <v>2</v>
      </c>
      <c r="H32" s="4">
        <v>1</v>
      </c>
      <c r="I32" s="4">
        <v>1</v>
      </c>
      <c r="J32" s="4">
        <v>-1</v>
      </c>
      <c r="K32" s="4">
        <v>1</v>
      </c>
      <c r="L32" s="75" cm="1">
        <f t="array" ref="L32">_xlfn.SWITCH(Slovenia_Policies_Table[[#This Row],[Impact]], "High", 1, "Medium", 0.66, "Low", 0.33)</f>
        <v>1</v>
      </c>
      <c r="M32" s="4" t="s">
        <v>489</v>
      </c>
      <c r="N32" s="4" t="s">
        <v>522</v>
      </c>
      <c r="O32" s="1" t="s">
        <v>396</v>
      </c>
      <c r="P32" s="6" t="s">
        <v>60</v>
      </c>
      <c r="Q32">
        <v>5</v>
      </c>
    </row>
  </sheetData>
  <phoneticPr fontId="9" type="noConversion"/>
  <hyperlinks>
    <hyperlink ref="P2" r:id="rId1" xr:uid="{F9C17323-4799-4594-BF6E-54FDC054B9EC}"/>
    <hyperlink ref="P3" r:id="rId2" xr:uid="{F7BBFFC5-B771-4ADD-9694-9C5EB463F1D9}"/>
    <hyperlink ref="P4" r:id="rId3" xr:uid="{0CF5D9C0-B6D0-42C2-B05E-7611ED41E53B}"/>
    <hyperlink ref="P5" r:id="rId4" xr:uid="{D60441BA-E533-433C-A1C0-419B9FF4FEE9}"/>
    <hyperlink ref="P6" r:id="rId5" xr:uid="{6C82A9CD-1731-42C9-AB3F-650E730C9271}"/>
    <hyperlink ref="P7" r:id="rId6" xr:uid="{33B56384-0460-4BF0-B712-1A06AFC80B56}"/>
    <hyperlink ref="P8" r:id="rId7" xr:uid="{23581208-2CC2-4FA3-B235-56D3A9C733AB}"/>
    <hyperlink ref="P9" r:id="rId8" xr:uid="{64C2A626-5FA3-4C0D-9244-C0D8C38B24CD}"/>
    <hyperlink ref="P10" r:id="rId9" xr:uid="{AF40DB91-2FA0-4C7A-A645-FDC43327905A}"/>
    <hyperlink ref="P12" r:id="rId10" xr:uid="{330D6451-818D-47CB-A2D5-B76A635A65E9}"/>
    <hyperlink ref="P13" r:id="rId11" xr:uid="{3F4D4F59-DCEE-46D7-A6F4-1F26E3F4D01A}"/>
    <hyperlink ref="P14" r:id="rId12" xr:uid="{EB28C84E-5D2A-467B-B3D4-AEDC1BA4036D}"/>
    <hyperlink ref="P16" r:id="rId13" xr:uid="{1CB7C748-5DA8-4166-8FAE-C5563D63C74C}"/>
    <hyperlink ref="P11" r:id="rId14" xr:uid="{A1037B44-D9EB-4C7C-BA9A-74344C7F0126}"/>
    <hyperlink ref="P17" r:id="rId15" xr:uid="{586D06B4-B110-471A-8E4E-2B614E20EA6D}"/>
    <hyperlink ref="P18" r:id="rId16" xr:uid="{395672CC-78FD-47ED-93AC-C86ADB602597}"/>
    <hyperlink ref="P19" r:id="rId17" xr:uid="{FA26CE80-4480-4803-94E6-B5B39867CA4D}"/>
    <hyperlink ref="P21" r:id="rId18" xr:uid="{12914E30-B012-4DE0-9AF0-6306A9A399F0}"/>
    <hyperlink ref="P22" r:id="rId19" xr:uid="{14B7884E-1451-4049-BFA2-41811301C44D}"/>
    <hyperlink ref="P24" r:id="rId20" xr:uid="{A870BCB8-7341-4709-9BE0-60F57CFC6407}"/>
    <hyperlink ref="P25" r:id="rId21" xr:uid="{FA82B0E8-6E7C-42C7-A716-032D187ECF63}"/>
    <hyperlink ref="P26" r:id="rId22" xr:uid="{43CA2BEC-91F5-4C33-A5EF-E0D97FE93A3E}"/>
    <hyperlink ref="P27" r:id="rId23" xr:uid="{D0EECA37-3BBC-4A5D-9FE4-423B24AEC78E}"/>
    <hyperlink ref="P28" r:id="rId24" xr:uid="{38A4EEE0-EEBD-420B-9163-F7746F7DE90C}"/>
    <hyperlink ref="P30" r:id="rId25" xr:uid="{B25AD63C-211E-422C-BEE3-B79A7A6161FA}"/>
    <hyperlink ref="P32" r:id="rId26" xr:uid="{CABB22D3-875A-427B-B875-1C6CEAC448E8}"/>
    <hyperlink ref="P15" r:id="rId27" xr:uid="{0D25FE25-E643-457F-A59D-C611C3CD959F}"/>
    <hyperlink ref="P20" r:id="rId28" xr:uid="{8A84E077-547F-430F-B44E-0AA36C487A46}"/>
    <hyperlink ref="P23" r:id="rId29" xr:uid="{41812BAE-8167-4476-B20A-E16BF7C60BEF}"/>
    <hyperlink ref="P29" r:id="rId30" xr:uid="{FB7D16E4-5C8F-487F-BBAE-F86D777726E6}"/>
    <hyperlink ref="P31" r:id="rId31" xr:uid="{70416D4D-A267-4F57-ADA4-8A3A1D9B8959}"/>
  </hyperlinks>
  <pageMargins left="0.7" right="0.7" top="0.75" bottom="0.75" header="0.3" footer="0.3"/>
  <pageSetup paperSize="9" orientation="portrait" r:id="rId32"/>
  <tableParts count="1">
    <tablePart r:id="rId3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5E620-08E7-4BBC-BA0A-4AA28430B0D5}">
  <dimension ref="A1:C26"/>
  <sheetViews>
    <sheetView workbookViewId="0"/>
  </sheetViews>
  <sheetFormatPr defaultRowHeight="14.4" x14ac:dyDescent="0.3"/>
  <cols>
    <col min="1" max="1" width="10.77734375" bestFit="1" customWidth="1"/>
    <col min="2" max="2" width="15.44140625" bestFit="1" customWidth="1"/>
    <col min="3" max="3" width="13.77734375" bestFit="1" customWidth="1"/>
  </cols>
  <sheetData>
    <row r="1" spans="1:3" x14ac:dyDescent="0.3">
      <c r="A1" s="27" t="s">
        <v>243</v>
      </c>
      <c r="B1" s="27" t="s">
        <v>645</v>
      </c>
      <c r="C1" s="27" t="s">
        <v>644</v>
      </c>
    </row>
    <row r="2" spans="1:3" x14ac:dyDescent="0.3">
      <c r="A2">
        <v>2015</v>
      </c>
      <c r="B2">
        <v>-3.02</v>
      </c>
      <c r="C2">
        <v>-2</v>
      </c>
    </row>
    <row r="3" spans="1:3" x14ac:dyDescent="0.3">
      <c r="A3">
        <v>2016</v>
      </c>
      <c r="B3">
        <v>-1</v>
      </c>
      <c r="C3">
        <f>C2+Slovenia_Rating[[#This Row],[Rating Change]]</f>
        <v>-3</v>
      </c>
    </row>
    <row r="4" spans="1:3" x14ac:dyDescent="0.3">
      <c r="A4">
        <v>2017</v>
      </c>
      <c r="B4">
        <v>-2.0000000000000018E-2</v>
      </c>
      <c r="C4">
        <f>C3+Slovenia_Rating[[#This Row],[Rating Change]]</f>
        <v>-3.02</v>
      </c>
    </row>
    <row r="5" spans="1:3" x14ac:dyDescent="0.3">
      <c r="A5">
        <v>2018</v>
      </c>
      <c r="B5">
        <v>3.96</v>
      </c>
      <c r="C5">
        <f>C4+Slovenia_Rating[[#This Row],[Rating Change]]</f>
        <v>0.94</v>
      </c>
    </row>
    <row r="6" spans="1:3" x14ac:dyDescent="0.3">
      <c r="A6">
        <v>2019</v>
      </c>
      <c r="B6">
        <v>-0.65999999999999992</v>
      </c>
      <c r="C6">
        <f>C5+Slovenia_Rating[[#This Row],[Rating Change]]</f>
        <v>0.28000000000000003</v>
      </c>
    </row>
    <row r="7" spans="1:3" x14ac:dyDescent="0.3">
      <c r="A7">
        <v>2020</v>
      </c>
      <c r="B7">
        <v>-1</v>
      </c>
      <c r="C7">
        <f>C6+Slovenia_Rating[[#This Row],[Rating Change]]</f>
        <v>-0.72</v>
      </c>
    </row>
    <row r="8" spans="1:3" x14ac:dyDescent="0.3">
      <c r="A8">
        <v>2021</v>
      </c>
      <c r="B8">
        <v>-3.3200000000000003</v>
      </c>
      <c r="C8">
        <f>C7+Slovenia_Rating[[#This Row],[Rating Change]]</f>
        <v>-4.04</v>
      </c>
    </row>
    <row r="9" spans="1:3" x14ac:dyDescent="0.3">
      <c r="A9">
        <v>2022</v>
      </c>
      <c r="B9">
        <v>7.6300000000000008</v>
      </c>
      <c r="C9">
        <f>C8+Slovenia_Rating[[#This Row],[Rating Change]]</f>
        <v>3.5900000000000007</v>
      </c>
    </row>
    <row r="10" spans="1:3" x14ac:dyDescent="0.3">
      <c r="A10">
        <v>2023</v>
      </c>
      <c r="B10">
        <v>3.3000000000000007</v>
      </c>
      <c r="C10">
        <f>C9+Slovenia_Rating[[#This Row],[Rating Change]]</f>
        <v>6.8900000000000015</v>
      </c>
    </row>
    <row r="11" spans="1:3" x14ac:dyDescent="0.3">
      <c r="A11">
        <v>2024</v>
      </c>
      <c r="B11">
        <v>-6.27</v>
      </c>
      <c r="C11">
        <f>C10+Slovenia_Rating[[#This Row],[Rating Change]]</f>
        <v>0.62000000000000188</v>
      </c>
    </row>
    <row r="12" spans="1:3" x14ac:dyDescent="0.3">
      <c r="A12">
        <v>2025</v>
      </c>
      <c r="B12">
        <v>2</v>
      </c>
      <c r="C12">
        <f>C11+Slovenia_Rating[[#This Row],[Rating Change]]</f>
        <v>2.6200000000000019</v>
      </c>
    </row>
    <row r="14" spans="1:3" x14ac:dyDescent="0.3">
      <c r="A14" s="55" t="s">
        <v>243</v>
      </c>
      <c r="B14" t="s">
        <v>643</v>
      </c>
    </row>
    <row r="15" spans="1:3" x14ac:dyDescent="0.3">
      <c r="A15" s="56" t="s">
        <v>310</v>
      </c>
      <c r="B15">
        <v>-3.02</v>
      </c>
    </row>
    <row r="16" spans="1:3" x14ac:dyDescent="0.3">
      <c r="A16" s="56" t="s">
        <v>311</v>
      </c>
      <c r="B16">
        <v>-1</v>
      </c>
    </row>
    <row r="17" spans="1:2" x14ac:dyDescent="0.3">
      <c r="A17" s="56" t="s">
        <v>312</v>
      </c>
      <c r="B17">
        <v>-2.0000000000000018E-2</v>
      </c>
    </row>
    <row r="18" spans="1:2" x14ac:dyDescent="0.3">
      <c r="A18" s="56" t="s">
        <v>313</v>
      </c>
      <c r="B18">
        <v>3.96</v>
      </c>
    </row>
    <row r="19" spans="1:2" x14ac:dyDescent="0.3">
      <c r="A19" s="56" t="s">
        <v>314</v>
      </c>
      <c r="B19">
        <v>-0.65999999999999992</v>
      </c>
    </row>
    <row r="20" spans="1:2" x14ac:dyDescent="0.3">
      <c r="A20" s="56" t="s">
        <v>315</v>
      </c>
      <c r="B20">
        <v>-1</v>
      </c>
    </row>
    <row r="21" spans="1:2" x14ac:dyDescent="0.3">
      <c r="A21" s="56" t="s">
        <v>316</v>
      </c>
      <c r="B21">
        <v>-3.3200000000000003</v>
      </c>
    </row>
    <row r="22" spans="1:2" x14ac:dyDescent="0.3">
      <c r="A22" s="56" t="s">
        <v>317</v>
      </c>
      <c r="B22">
        <v>7.6300000000000008</v>
      </c>
    </row>
    <row r="23" spans="1:2" x14ac:dyDescent="0.3">
      <c r="A23" s="56" t="s">
        <v>318</v>
      </c>
      <c r="B23">
        <v>3.3000000000000007</v>
      </c>
    </row>
    <row r="24" spans="1:2" x14ac:dyDescent="0.3">
      <c r="A24" s="56" t="s">
        <v>319</v>
      </c>
      <c r="B24">
        <v>-6.27</v>
      </c>
    </row>
    <row r="25" spans="1:2" x14ac:dyDescent="0.3">
      <c r="A25" s="56" t="s">
        <v>320</v>
      </c>
      <c r="B25">
        <v>2</v>
      </c>
    </row>
    <row r="26" spans="1:2" x14ac:dyDescent="0.3">
      <c r="A26" s="56" t="s">
        <v>309</v>
      </c>
      <c r="B26">
        <v>1.6000000000000023</v>
      </c>
    </row>
  </sheetData>
  <pageMargins left="0.7" right="0.7" top="0.75" bottom="0.75" header="0.3" footer="0.3"/>
  <drawing r:id="rId2"/>
  <tableParts count="1">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AFFD9-2D96-4FA2-BCB8-AD371FDE755C}">
  <dimension ref="A1:Q28"/>
  <sheetViews>
    <sheetView workbookViewId="0">
      <selection activeCell="E27" sqref="E27"/>
    </sheetView>
  </sheetViews>
  <sheetFormatPr defaultRowHeight="14.4" x14ac:dyDescent="0.3"/>
  <cols>
    <col min="1" max="1" width="11.88671875" customWidth="1"/>
    <col min="2" max="2" width="9.6640625" customWidth="1"/>
    <col min="3" max="3" width="10.109375" bestFit="1" customWidth="1"/>
    <col min="4" max="4" width="83.5546875" bestFit="1" customWidth="1"/>
    <col min="5" max="5" width="22.5546875" bestFit="1" customWidth="1"/>
    <col min="6" max="6" width="17.88671875" bestFit="1" customWidth="1"/>
    <col min="8" max="8" width="18.6640625" customWidth="1"/>
    <col min="9" max="9" width="25.109375" customWidth="1"/>
    <col min="10" max="10" width="19.33203125" customWidth="1"/>
    <col min="11" max="11" width="22.33203125" customWidth="1"/>
    <col min="12" max="12" width="14.33203125" bestFit="1" customWidth="1"/>
    <col min="13" max="13" width="9.109375" bestFit="1" customWidth="1"/>
    <col min="14" max="14" width="50.77734375" customWidth="1"/>
    <col min="15" max="15" width="45.109375" bestFit="1" customWidth="1"/>
    <col min="16" max="16" width="113.44140625" bestFit="1" customWidth="1"/>
    <col min="17" max="17" width="24.44140625" bestFit="1" customWidth="1"/>
  </cols>
  <sheetData>
    <row r="1" spans="1:17" x14ac:dyDescent="0.3">
      <c r="A1" s="47" t="s">
        <v>10</v>
      </c>
      <c r="B1" s="48" t="s">
        <v>9</v>
      </c>
      <c r="C1" s="48" t="s">
        <v>72</v>
      </c>
      <c r="D1" s="48" t="s">
        <v>64</v>
      </c>
      <c r="E1" s="48" t="s">
        <v>71</v>
      </c>
      <c r="F1" s="48" t="s">
        <v>572</v>
      </c>
      <c r="G1" s="48" t="s">
        <v>239</v>
      </c>
      <c r="H1" s="48" t="s">
        <v>244</v>
      </c>
      <c r="I1" s="48" t="s">
        <v>240</v>
      </c>
      <c r="J1" s="48" t="s">
        <v>241</v>
      </c>
      <c r="K1" s="48" t="s">
        <v>242</v>
      </c>
      <c r="L1" s="49" t="s">
        <v>571</v>
      </c>
      <c r="M1" s="49" t="s">
        <v>487</v>
      </c>
      <c r="N1" s="49" t="s">
        <v>488</v>
      </c>
      <c r="O1" s="49" t="s">
        <v>384</v>
      </c>
      <c r="P1" s="49" t="s">
        <v>383</v>
      </c>
      <c r="Q1" s="48" t="s">
        <v>640</v>
      </c>
    </row>
    <row r="2" spans="1:17" x14ac:dyDescent="0.3">
      <c r="A2" s="10">
        <v>2</v>
      </c>
      <c r="B2" s="1" t="s">
        <v>5</v>
      </c>
      <c r="C2" s="2">
        <v>42178</v>
      </c>
      <c r="D2" s="1" t="s">
        <v>270</v>
      </c>
      <c r="E2" s="1" t="s">
        <v>122</v>
      </c>
      <c r="F2" s="1">
        <f>Hungary_Policies_Table[[#This Row],[Rating]]*Hungary_Policies_Table[[#This Row],[Impact Value]]</f>
        <v>-3</v>
      </c>
      <c r="G2" s="1">
        <f>SUM(Hungary_Policies_Table[[#This Row],[Impact on Country]:[Impact on EU Relations]])</f>
        <v>-3</v>
      </c>
      <c r="H2" s="1">
        <v>0</v>
      </c>
      <c r="I2" s="1">
        <v>-1</v>
      </c>
      <c r="J2" s="1">
        <v>-1</v>
      </c>
      <c r="K2" s="1">
        <v>-1</v>
      </c>
      <c r="L2" s="63" cm="1">
        <f t="array" ref="L2">_xlfn.SWITCH(Hungary_Policies_Table[[#This Row],[Impact]], "High", 1, "Medium", 0.66, "Low", 0.33)</f>
        <v>1</v>
      </c>
      <c r="M2" s="63" t="s">
        <v>489</v>
      </c>
      <c r="N2" s="63" t="s">
        <v>609</v>
      </c>
      <c r="O2" s="63" t="s">
        <v>425</v>
      </c>
      <c r="P2" s="11" t="s">
        <v>269</v>
      </c>
      <c r="Q2" s="49">
        <v>7</v>
      </c>
    </row>
    <row r="3" spans="1:17" x14ac:dyDescent="0.3">
      <c r="A3" s="14">
        <v>2</v>
      </c>
      <c r="B3" s="4" t="s">
        <v>5</v>
      </c>
      <c r="C3" s="5">
        <v>42262</v>
      </c>
      <c r="D3" s="4" t="s">
        <v>248</v>
      </c>
      <c r="E3" s="4" t="s">
        <v>120</v>
      </c>
      <c r="F3" s="1">
        <f>Hungary_Policies_Table[[#This Row],[Rating]]*Hungary_Policies_Table[[#This Row],[Impact Value]]</f>
        <v>-2</v>
      </c>
      <c r="G3" s="1">
        <f>SUM(Hungary_Policies_Table[[#This Row],[Impact on Country]:[Impact on EU Relations]])</f>
        <v>-2</v>
      </c>
      <c r="H3" s="4">
        <v>1</v>
      </c>
      <c r="I3" s="4">
        <v>-1</v>
      </c>
      <c r="J3" s="4">
        <v>-1</v>
      </c>
      <c r="K3" s="4">
        <v>-1</v>
      </c>
      <c r="L3" s="63" cm="1">
        <f t="array" ref="L3">_xlfn.SWITCH(Hungary_Policies_Table[[#This Row],[Impact]], "High", 1, "Medium", 0.66, "Low", 0.33)</f>
        <v>1</v>
      </c>
      <c r="M3" s="76" t="s">
        <v>489</v>
      </c>
      <c r="N3" s="76" t="s">
        <v>610</v>
      </c>
      <c r="O3" s="63" t="s">
        <v>426</v>
      </c>
      <c r="P3" s="50" t="s">
        <v>247</v>
      </c>
      <c r="Q3" s="63">
        <v>5</v>
      </c>
    </row>
    <row r="4" spans="1:17" x14ac:dyDescent="0.3">
      <c r="A4" s="14">
        <v>2</v>
      </c>
      <c r="B4" s="4" t="s">
        <v>5</v>
      </c>
      <c r="C4" s="2">
        <v>42294</v>
      </c>
      <c r="D4" s="1" t="s">
        <v>250</v>
      </c>
      <c r="E4" s="1" t="s">
        <v>120</v>
      </c>
      <c r="F4" s="1">
        <f>Hungary_Policies_Table[[#This Row],[Rating]]*Hungary_Policies_Table[[#This Row],[Impact Value]]</f>
        <v>-2</v>
      </c>
      <c r="G4" s="1">
        <f>SUM(Hungary_Policies_Table[[#This Row],[Impact on Country]:[Impact on EU Relations]])</f>
        <v>-2</v>
      </c>
      <c r="H4" s="1">
        <v>1</v>
      </c>
      <c r="I4" s="1">
        <v>-1</v>
      </c>
      <c r="J4" s="1">
        <v>-1</v>
      </c>
      <c r="K4" s="1">
        <v>-1</v>
      </c>
      <c r="L4" s="63" cm="1">
        <f t="array" ref="L4">_xlfn.SWITCH(Hungary_Policies_Table[[#This Row],[Impact]], "High", 1, "Medium", 0.66, "Low", 0.33)</f>
        <v>1</v>
      </c>
      <c r="M4" s="63" t="s">
        <v>489</v>
      </c>
      <c r="N4" s="63" t="s">
        <v>611</v>
      </c>
      <c r="O4" s="63" t="s">
        <v>427</v>
      </c>
      <c r="P4" s="11" t="s">
        <v>249</v>
      </c>
      <c r="Q4" s="63">
        <v>8</v>
      </c>
    </row>
    <row r="5" spans="1:17" x14ac:dyDescent="0.3">
      <c r="A5" s="10">
        <v>2</v>
      </c>
      <c r="B5" s="1" t="s">
        <v>5</v>
      </c>
      <c r="C5" s="2">
        <v>42370</v>
      </c>
      <c r="D5" s="1" t="s">
        <v>271</v>
      </c>
      <c r="E5" s="1" t="s">
        <v>123</v>
      </c>
      <c r="F5" s="1">
        <f>Hungary_Policies_Table[[#This Row],[Rating]]*Hungary_Policies_Table[[#This Row],[Impact Value]]</f>
        <v>-2</v>
      </c>
      <c r="G5" s="1">
        <f>SUM(Hungary_Policies_Table[[#This Row],[Impact on Country]:[Impact on EU Relations]])</f>
        <v>-2</v>
      </c>
      <c r="H5" s="1">
        <v>1</v>
      </c>
      <c r="I5" s="1">
        <v>-1</v>
      </c>
      <c r="J5" s="1">
        <v>-1</v>
      </c>
      <c r="K5" s="1">
        <v>-1</v>
      </c>
      <c r="L5" s="63" cm="1">
        <f t="array" ref="L5">_xlfn.SWITCH(Hungary_Policies_Table[[#This Row],[Impact]], "High", 1, "Medium", 0.66, "Low", 0.33)</f>
        <v>1</v>
      </c>
      <c r="M5" s="63" t="s">
        <v>489</v>
      </c>
      <c r="N5" s="63" t="s">
        <v>612</v>
      </c>
      <c r="O5" s="63" t="s">
        <v>404</v>
      </c>
      <c r="P5" s="11" t="s">
        <v>272</v>
      </c>
      <c r="Q5" s="63">
        <v>5</v>
      </c>
    </row>
    <row r="6" spans="1:17" x14ac:dyDescent="0.3">
      <c r="A6" s="14">
        <v>2</v>
      </c>
      <c r="B6" s="4" t="s">
        <v>5</v>
      </c>
      <c r="C6" s="2">
        <v>42565</v>
      </c>
      <c r="D6" s="1" t="s">
        <v>252</v>
      </c>
      <c r="E6" s="1" t="s">
        <v>120</v>
      </c>
      <c r="F6" s="1">
        <f>Hungary_Policies_Table[[#This Row],[Rating]]*Hungary_Policies_Table[[#This Row],[Impact Value]]</f>
        <v>-2</v>
      </c>
      <c r="G6" s="1">
        <f>SUM(Hungary_Policies_Table[[#This Row],[Impact on Country]:[Impact on EU Relations]])</f>
        <v>-2</v>
      </c>
      <c r="H6" s="1">
        <v>1</v>
      </c>
      <c r="I6" s="1">
        <v>-1</v>
      </c>
      <c r="J6" s="1">
        <v>-1</v>
      </c>
      <c r="K6" s="1">
        <v>-1</v>
      </c>
      <c r="L6" s="63" cm="1">
        <f t="array" ref="L6">_xlfn.SWITCH(Hungary_Policies_Table[[#This Row],[Impact]], "High", 1, "Medium", 0.66, "Low", 0.33)</f>
        <v>1</v>
      </c>
      <c r="M6" s="63" t="s">
        <v>489</v>
      </c>
      <c r="N6" s="63" t="s">
        <v>613</v>
      </c>
      <c r="O6" s="63" t="s">
        <v>425</v>
      </c>
      <c r="P6" s="11" t="s">
        <v>251</v>
      </c>
      <c r="Q6" s="63">
        <v>6</v>
      </c>
    </row>
    <row r="7" spans="1:17" x14ac:dyDescent="0.3">
      <c r="A7" s="14">
        <v>2</v>
      </c>
      <c r="B7" s="4" t="s">
        <v>5</v>
      </c>
      <c r="C7" s="2">
        <v>42646</v>
      </c>
      <c r="D7" s="1" t="s">
        <v>253</v>
      </c>
      <c r="E7" s="1" t="s">
        <v>123</v>
      </c>
      <c r="F7" s="1">
        <f>Hungary_Policies_Table[[#This Row],[Rating]]*Hungary_Policies_Table[[#This Row],[Impact Value]]</f>
        <v>-1.32</v>
      </c>
      <c r="G7" s="1">
        <f>SUM(Hungary_Policies_Table[[#This Row],[Impact on Country]:[Impact on EU Relations]])</f>
        <v>-2</v>
      </c>
      <c r="H7" s="1">
        <v>0</v>
      </c>
      <c r="I7" s="1">
        <v>-1</v>
      </c>
      <c r="J7" s="1">
        <v>0</v>
      </c>
      <c r="K7" s="1">
        <v>-1</v>
      </c>
      <c r="L7" s="63" cm="1">
        <f t="array" ref="L7">_xlfn.SWITCH(Hungary_Policies_Table[[#This Row],[Impact]], "High", 1, "Medium", 0.66, "Low", 0.33)</f>
        <v>0.66</v>
      </c>
      <c r="M7" s="63" t="s">
        <v>490</v>
      </c>
      <c r="N7" s="63" t="s">
        <v>614</v>
      </c>
      <c r="O7" s="63" t="s">
        <v>425</v>
      </c>
      <c r="P7" s="11" t="s">
        <v>254</v>
      </c>
      <c r="Q7" s="63">
        <v>6</v>
      </c>
    </row>
    <row r="8" spans="1:17" x14ac:dyDescent="0.3">
      <c r="A8" s="10">
        <v>2</v>
      </c>
      <c r="B8" s="1" t="s">
        <v>5</v>
      </c>
      <c r="C8" s="2">
        <v>42803</v>
      </c>
      <c r="D8" s="1" t="s">
        <v>268</v>
      </c>
      <c r="E8" s="1" t="s">
        <v>123</v>
      </c>
      <c r="F8" s="1">
        <f>Hungary_Policies_Table[[#This Row],[Rating]]*Hungary_Policies_Table[[#This Row],[Impact Value]]</f>
        <v>-2</v>
      </c>
      <c r="G8" s="1">
        <f>SUM(Hungary_Policies_Table[[#This Row],[Impact on Country]:[Impact on EU Relations]])</f>
        <v>-2</v>
      </c>
      <c r="H8" s="1">
        <v>1</v>
      </c>
      <c r="I8" s="1">
        <v>-1</v>
      </c>
      <c r="J8" s="1">
        <v>-1</v>
      </c>
      <c r="K8" s="1">
        <v>-1</v>
      </c>
      <c r="L8" s="63" cm="1">
        <f t="array" ref="L8">_xlfn.SWITCH(Hungary_Policies_Table[[#This Row],[Impact]], "High", 1, "Medium", 0.66, "Low", 0.33)</f>
        <v>1</v>
      </c>
      <c r="M8" s="63" t="s">
        <v>489</v>
      </c>
      <c r="N8" s="63" t="s">
        <v>615</v>
      </c>
      <c r="O8" s="63" t="s">
        <v>389</v>
      </c>
      <c r="P8" s="11" t="s">
        <v>267</v>
      </c>
      <c r="Q8" s="63">
        <v>4</v>
      </c>
    </row>
    <row r="9" spans="1:17" x14ac:dyDescent="0.3">
      <c r="A9" s="14">
        <v>2</v>
      </c>
      <c r="B9" s="4" t="s">
        <v>5</v>
      </c>
      <c r="C9" s="2">
        <v>43271</v>
      </c>
      <c r="D9" s="1" t="s">
        <v>256</v>
      </c>
      <c r="E9" s="1" t="s">
        <v>123</v>
      </c>
      <c r="F9" s="1">
        <f>Hungary_Policies_Table[[#This Row],[Rating]]*Hungary_Policies_Table[[#This Row],[Impact Value]]</f>
        <v>-0.66</v>
      </c>
      <c r="G9" s="1">
        <f>SUM(Hungary_Policies_Table[[#This Row],[Impact on Country]:[Impact on EU Relations]])</f>
        <v>-1</v>
      </c>
      <c r="H9" s="1">
        <v>1</v>
      </c>
      <c r="I9" s="1">
        <v>0</v>
      </c>
      <c r="J9" s="1">
        <v>-1</v>
      </c>
      <c r="K9" s="1">
        <v>-1</v>
      </c>
      <c r="L9" s="63" cm="1">
        <f t="array" ref="L9">_xlfn.SWITCH(Hungary_Policies_Table[[#This Row],[Impact]], "High", 1, "Medium", 0.66, "Low", 0.33)</f>
        <v>0.66</v>
      </c>
      <c r="M9" s="63" t="s">
        <v>490</v>
      </c>
      <c r="N9" s="63" t="s">
        <v>616</v>
      </c>
      <c r="O9" s="63" t="s">
        <v>386</v>
      </c>
      <c r="P9" s="11" t="s">
        <v>255</v>
      </c>
      <c r="Q9" s="63">
        <v>6</v>
      </c>
    </row>
    <row r="10" spans="1:17" x14ac:dyDescent="0.3">
      <c r="A10" s="10">
        <v>2</v>
      </c>
      <c r="B10" s="1" t="s">
        <v>5</v>
      </c>
      <c r="C10" s="2">
        <v>43901</v>
      </c>
      <c r="D10" s="1" t="s">
        <v>262</v>
      </c>
      <c r="E10" s="1" t="s">
        <v>121</v>
      </c>
      <c r="F10" s="1">
        <f>Hungary_Policies_Table[[#This Row],[Rating]]*Hungary_Policies_Table[[#This Row],[Impact Value]]</f>
        <v>-1.32</v>
      </c>
      <c r="G10" s="1">
        <f>SUM(Hungary_Policies_Table[[#This Row],[Impact on Country]:[Impact on EU Relations]])</f>
        <v>-2</v>
      </c>
      <c r="H10" s="1">
        <v>0</v>
      </c>
      <c r="I10" s="1">
        <v>-1</v>
      </c>
      <c r="J10" s="1">
        <v>-1</v>
      </c>
      <c r="K10" s="1">
        <v>0</v>
      </c>
      <c r="L10" s="63" cm="1">
        <f t="array" ref="L10">_xlfn.SWITCH(Hungary_Policies_Table[[#This Row],[Impact]], "High", 1, "Medium", 0.66, "Low", 0.33)</f>
        <v>0.66</v>
      </c>
      <c r="M10" s="63" t="s">
        <v>490</v>
      </c>
      <c r="N10" s="63" t="s">
        <v>617</v>
      </c>
      <c r="O10" s="63" t="s">
        <v>428</v>
      </c>
      <c r="P10" s="11" t="s">
        <v>261</v>
      </c>
      <c r="Q10" s="63">
        <v>4</v>
      </c>
    </row>
    <row r="11" spans="1:17" x14ac:dyDescent="0.3">
      <c r="A11" s="14">
        <v>2</v>
      </c>
      <c r="B11" s="4" t="s">
        <v>5</v>
      </c>
      <c r="C11" s="2">
        <v>43973</v>
      </c>
      <c r="D11" s="1" t="s">
        <v>258</v>
      </c>
      <c r="E11" s="1" t="s">
        <v>123</v>
      </c>
      <c r="F11" s="1">
        <f>Hungary_Policies_Table[[#This Row],[Rating]]*Hungary_Policies_Table[[#This Row],[Impact Value]]</f>
        <v>-0.66</v>
      </c>
      <c r="G11" s="1">
        <f>SUM(Hungary_Policies_Table[[#This Row],[Impact on Country]:[Impact on EU Relations]])</f>
        <v>-1</v>
      </c>
      <c r="H11" s="1">
        <v>-1</v>
      </c>
      <c r="I11" s="1">
        <v>0</v>
      </c>
      <c r="J11" s="1">
        <v>0</v>
      </c>
      <c r="K11" s="1">
        <v>0</v>
      </c>
      <c r="L11" s="63" cm="1">
        <f t="array" ref="L11">_xlfn.SWITCH(Hungary_Policies_Table[[#This Row],[Impact]], "High", 1, "Medium", 0.66, "Low", 0.33)</f>
        <v>0.66</v>
      </c>
      <c r="M11" s="63" t="s">
        <v>490</v>
      </c>
      <c r="N11" s="63" t="s">
        <v>618</v>
      </c>
      <c r="O11" s="63" t="s">
        <v>392</v>
      </c>
      <c r="P11" s="11" t="s">
        <v>257</v>
      </c>
      <c r="Q11" s="63">
        <v>5</v>
      </c>
    </row>
    <row r="12" spans="1:17" x14ac:dyDescent="0.3">
      <c r="A12" s="14">
        <v>2</v>
      </c>
      <c r="B12" s="4" t="s">
        <v>5</v>
      </c>
      <c r="C12" s="2">
        <v>44197</v>
      </c>
      <c r="D12" s="1" t="s">
        <v>260</v>
      </c>
      <c r="E12" s="1" t="s">
        <v>122</v>
      </c>
      <c r="F12" s="1">
        <f>Hungary_Policies_Table[[#This Row],[Rating]]*Hungary_Policies_Table[[#This Row],[Impact Value]]</f>
        <v>-3</v>
      </c>
      <c r="G12" s="1">
        <f>SUM(Hungary_Policies_Table[[#This Row],[Impact on Country]:[Impact on EU Relations]])</f>
        <v>-3</v>
      </c>
      <c r="H12" s="1">
        <v>-1</v>
      </c>
      <c r="I12" s="1">
        <v>0</v>
      </c>
      <c r="J12" s="1">
        <v>-1</v>
      </c>
      <c r="K12" s="1">
        <v>-1</v>
      </c>
      <c r="L12" s="63" cm="1">
        <f t="array" ref="L12">_xlfn.SWITCH(Hungary_Policies_Table[[#This Row],[Impact]], "High", 1, "Medium", 0.66, "Low", 0.33)</f>
        <v>1</v>
      </c>
      <c r="M12" s="63" t="s">
        <v>489</v>
      </c>
      <c r="N12" s="63" t="s">
        <v>619</v>
      </c>
      <c r="O12" s="63" t="s">
        <v>429</v>
      </c>
      <c r="P12" s="11" t="s">
        <v>259</v>
      </c>
      <c r="Q12" s="63">
        <v>7</v>
      </c>
    </row>
    <row r="13" spans="1:17" x14ac:dyDescent="0.3">
      <c r="A13" s="14">
        <v>2</v>
      </c>
      <c r="B13" s="4" t="s">
        <v>5</v>
      </c>
      <c r="C13" s="2">
        <v>45780</v>
      </c>
      <c r="D13" s="1" t="s">
        <v>263</v>
      </c>
      <c r="E13" s="1" t="s">
        <v>123</v>
      </c>
      <c r="F13" s="1">
        <f>Hungary_Policies_Table[[#This Row],[Rating]]*Hungary_Policies_Table[[#This Row],[Impact Value]]</f>
        <v>-1.32</v>
      </c>
      <c r="G13" s="1">
        <f>SUM(Hungary_Policies_Table[[#This Row],[Impact on Country]:[Impact on EU Relations]])</f>
        <v>-2</v>
      </c>
      <c r="H13" s="1">
        <v>0</v>
      </c>
      <c r="I13" s="1">
        <v>0</v>
      </c>
      <c r="J13" s="1">
        <v>-1</v>
      </c>
      <c r="K13" s="1">
        <v>-1</v>
      </c>
      <c r="L13" s="63" cm="1">
        <f t="array" ref="L13">_xlfn.SWITCH(Hungary_Policies_Table[[#This Row],[Impact]], "High", 1, "Medium", 0.66, "Low", 0.33)</f>
        <v>0.66</v>
      </c>
      <c r="M13" s="63" t="s">
        <v>490</v>
      </c>
      <c r="N13" s="63" t="s">
        <v>620</v>
      </c>
      <c r="O13" s="63" t="s">
        <v>430</v>
      </c>
      <c r="P13" s="11" t="s">
        <v>264</v>
      </c>
      <c r="Q13" s="63">
        <v>5</v>
      </c>
    </row>
    <row r="14" spans="1:17" x14ac:dyDescent="0.3">
      <c r="A14" s="14">
        <v>2</v>
      </c>
      <c r="B14" s="4" t="s">
        <v>5</v>
      </c>
      <c r="C14" s="5">
        <v>45804</v>
      </c>
      <c r="D14" s="4" t="s">
        <v>265</v>
      </c>
      <c r="E14" s="4" t="s">
        <v>122</v>
      </c>
      <c r="F14" s="1">
        <f>Hungary_Policies_Table[[#This Row],[Rating]]*Hungary_Policies_Table[[#This Row],[Impact Value]]</f>
        <v>-1.32</v>
      </c>
      <c r="G14" s="1">
        <f>SUM(Hungary_Policies_Table[[#This Row],[Impact on Country]:[Impact on EU Relations]])</f>
        <v>-2</v>
      </c>
      <c r="H14" s="4">
        <v>0</v>
      </c>
      <c r="I14" s="4">
        <v>-1</v>
      </c>
      <c r="J14" s="4">
        <v>0</v>
      </c>
      <c r="K14" s="4">
        <v>-1</v>
      </c>
      <c r="L14" s="63" cm="1">
        <f t="array" ref="L14">_xlfn.SWITCH(Hungary_Policies_Table[[#This Row],[Impact]], "High", 1, "Medium", 0.66, "Low", 0.33)</f>
        <v>0.66</v>
      </c>
      <c r="M14" s="76" t="s">
        <v>490</v>
      </c>
      <c r="N14" s="76" t="s">
        <v>621</v>
      </c>
      <c r="O14" s="63" t="s">
        <v>431</v>
      </c>
      <c r="P14" s="50" t="s">
        <v>266</v>
      </c>
      <c r="Q14" s="76">
        <v>6</v>
      </c>
    </row>
    <row r="15" spans="1:17" x14ac:dyDescent="0.3">
      <c r="P15" s="51"/>
    </row>
    <row r="16" spans="1:17" x14ac:dyDescent="0.3">
      <c r="P16" s="51"/>
    </row>
    <row r="17" spans="16:16" x14ac:dyDescent="0.3">
      <c r="P17" s="51"/>
    </row>
    <row r="18" spans="16:16" x14ac:dyDescent="0.3">
      <c r="P18" s="51"/>
    </row>
    <row r="19" spans="16:16" x14ac:dyDescent="0.3">
      <c r="P19" s="51"/>
    </row>
    <row r="20" spans="16:16" x14ac:dyDescent="0.3">
      <c r="P20" s="51"/>
    </row>
    <row r="21" spans="16:16" x14ac:dyDescent="0.3">
      <c r="P21" s="51"/>
    </row>
    <row r="22" spans="16:16" x14ac:dyDescent="0.3">
      <c r="P22" s="51"/>
    </row>
    <row r="23" spans="16:16" x14ac:dyDescent="0.3">
      <c r="P23" s="51"/>
    </row>
    <row r="24" spans="16:16" x14ac:dyDescent="0.3">
      <c r="P24" s="51"/>
    </row>
    <row r="25" spans="16:16" x14ac:dyDescent="0.3">
      <c r="P25" s="51"/>
    </row>
    <row r="26" spans="16:16" x14ac:dyDescent="0.3">
      <c r="P26" s="51"/>
    </row>
    <row r="27" spans="16:16" x14ac:dyDescent="0.3">
      <c r="P27" s="51"/>
    </row>
    <row r="28" spans="16:16" x14ac:dyDescent="0.3">
      <c r="P28" s="51"/>
    </row>
  </sheetData>
  <phoneticPr fontId="9" type="noConversion"/>
  <hyperlinks>
    <hyperlink ref="P3" r:id="rId1" xr:uid="{FF69AC8B-62D8-46FC-A7AD-0C71FD93A1DC}"/>
    <hyperlink ref="P4" r:id="rId2" xr:uid="{8F530ADC-25AE-4D05-AE48-76EEAEF63C5E}"/>
    <hyperlink ref="P6" r:id="rId3" xr:uid="{9CF8CB30-905A-4862-B40B-C2F8CAA4F290}"/>
    <hyperlink ref="P7" r:id="rId4" xr:uid="{D0C7F94E-5A1B-42F0-8BA8-8129471F862C}"/>
    <hyperlink ref="P9" r:id="rId5" xr:uid="{D14F1A78-6128-42F3-A830-B4373C335AF9}"/>
    <hyperlink ref="P11" r:id="rId6" xr:uid="{C0C1A326-6C16-469F-8E3A-44633C638C83}"/>
    <hyperlink ref="P12" r:id="rId7" xr:uid="{79331010-0C6E-47E5-BE32-A0E79FF1A5B4}"/>
    <hyperlink ref="P10" r:id="rId8" xr:uid="{80E2D066-3F09-4300-969D-92AFF780D579}"/>
    <hyperlink ref="P14" r:id="rId9" xr:uid="{C535ADF2-775D-4958-897C-057B48538F0C}"/>
    <hyperlink ref="P8" r:id="rId10" xr:uid="{EC19C3DD-C344-48BB-BA33-8E14A9D515B4}"/>
    <hyperlink ref="P2" r:id="rId11" xr:uid="{722D408C-988B-44BD-A167-8AB47A72210D}"/>
    <hyperlink ref="P5" r:id="rId12" xr:uid="{DD542F5A-F50F-404E-8D80-802B7A264B49}"/>
    <hyperlink ref="P13" r:id="rId13" xr:uid="{3AF6A62C-0EB7-42A4-94A3-B19848EE084D}"/>
  </hyperlinks>
  <pageMargins left="0.7" right="0.7" top="0.75" bottom="0.75" header="0.3" footer="0.3"/>
  <tableParts count="1">
    <tablePart r:id="rId1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E5E7B-0192-45F0-805B-E5FC87AA764E}">
  <dimension ref="A1:C22"/>
  <sheetViews>
    <sheetView workbookViewId="0"/>
  </sheetViews>
  <sheetFormatPr defaultRowHeight="14.4" x14ac:dyDescent="0.3"/>
  <cols>
    <col min="1" max="1" width="10.77734375" bestFit="1" customWidth="1"/>
    <col min="2" max="2" width="15.44140625" bestFit="1" customWidth="1"/>
    <col min="3" max="3" width="13.77734375" bestFit="1" customWidth="1"/>
  </cols>
  <sheetData>
    <row r="1" spans="1:3" x14ac:dyDescent="0.3">
      <c r="A1" s="27" t="s">
        <v>243</v>
      </c>
      <c r="B1" s="27" t="s">
        <v>645</v>
      </c>
      <c r="C1" s="27" t="s">
        <v>644</v>
      </c>
    </row>
    <row r="2" spans="1:3" x14ac:dyDescent="0.3">
      <c r="A2">
        <v>2015</v>
      </c>
      <c r="B2">
        <v>-7</v>
      </c>
      <c r="C2">
        <v>-7</v>
      </c>
    </row>
    <row r="3" spans="1:3" x14ac:dyDescent="0.3">
      <c r="A3">
        <v>2016</v>
      </c>
      <c r="B3">
        <v>-5.32</v>
      </c>
      <c r="C3">
        <f>C2+Hungary_Rating[[#This Row],[Rating Change]]</f>
        <v>-12.32</v>
      </c>
    </row>
    <row r="4" spans="1:3" x14ac:dyDescent="0.3">
      <c r="A4">
        <v>2017</v>
      </c>
      <c r="B4">
        <v>-2</v>
      </c>
      <c r="C4">
        <f>C3+Hungary_Rating[[#This Row],[Rating Change]]</f>
        <v>-14.32</v>
      </c>
    </row>
    <row r="5" spans="1:3" x14ac:dyDescent="0.3">
      <c r="A5">
        <v>2018</v>
      </c>
      <c r="B5">
        <v>-0.66</v>
      </c>
      <c r="C5">
        <f>C4+Hungary_Rating[[#This Row],[Rating Change]]</f>
        <v>-14.98</v>
      </c>
    </row>
    <row r="6" spans="1:3" x14ac:dyDescent="0.3">
      <c r="A6">
        <v>2019</v>
      </c>
      <c r="B6">
        <v>0</v>
      </c>
      <c r="C6">
        <f>C5+Hungary_Rating[[#This Row],[Rating Change]]</f>
        <v>-14.98</v>
      </c>
    </row>
    <row r="7" spans="1:3" x14ac:dyDescent="0.3">
      <c r="A7">
        <v>2020</v>
      </c>
      <c r="B7">
        <v>-1.98</v>
      </c>
      <c r="C7">
        <f>C6+Hungary_Rating[[#This Row],[Rating Change]]</f>
        <v>-16.96</v>
      </c>
    </row>
    <row r="8" spans="1:3" x14ac:dyDescent="0.3">
      <c r="A8">
        <v>2021</v>
      </c>
      <c r="B8">
        <v>-3</v>
      </c>
      <c r="C8">
        <f>C7+Hungary_Rating[[#This Row],[Rating Change]]</f>
        <v>-19.96</v>
      </c>
    </row>
    <row r="9" spans="1:3" x14ac:dyDescent="0.3">
      <c r="A9">
        <v>2022</v>
      </c>
      <c r="B9">
        <v>0</v>
      </c>
      <c r="C9">
        <f>C8+Hungary_Rating[[#This Row],[Rating Change]]</f>
        <v>-19.96</v>
      </c>
    </row>
    <row r="10" spans="1:3" x14ac:dyDescent="0.3">
      <c r="A10">
        <v>2023</v>
      </c>
      <c r="B10">
        <v>0</v>
      </c>
      <c r="C10">
        <f>C9+Hungary_Rating[[#This Row],[Rating Change]]</f>
        <v>-19.96</v>
      </c>
    </row>
    <row r="11" spans="1:3" x14ac:dyDescent="0.3">
      <c r="A11">
        <v>2024</v>
      </c>
      <c r="B11">
        <v>0</v>
      </c>
      <c r="C11">
        <f>C10+Hungary_Rating[[#This Row],[Rating Change]]</f>
        <v>-19.96</v>
      </c>
    </row>
    <row r="12" spans="1:3" x14ac:dyDescent="0.3">
      <c r="A12">
        <v>2025</v>
      </c>
      <c r="B12">
        <v>-2.64</v>
      </c>
      <c r="C12">
        <f>C11+Hungary_Rating[[#This Row],[Rating Change]]</f>
        <v>-22.6</v>
      </c>
    </row>
    <row r="14" spans="1:3" x14ac:dyDescent="0.3">
      <c r="A14" s="55" t="s">
        <v>243</v>
      </c>
      <c r="B14" t="s">
        <v>643</v>
      </c>
    </row>
    <row r="15" spans="1:3" x14ac:dyDescent="0.3">
      <c r="A15" s="56" t="s">
        <v>310</v>
      </c>
      <c r="B15">
        <v>-7</v>
      </c>
    </row>
    <row r="16" spans="1:3" x14ac:dyDescent="0.3">
      <c r="A16" s="56" t="s">
        <v>311</v>
      </c>
      <c r="B16">
        <v>-5.32</v>
      </c>
    </row>
    <row r="17" spans="1:2" x14ac:dyDescent="0.3">
      <c r="A17" s="56" t="s">
        <v>312</v>
      </c>
      <c r="B17">
        <v>-2</v>
      </c>
    </row>
    <row r="18" spans="1:2" x14ac:dyDescent="0.3">
      <c r="A18" s="56" t="s">
        <v>313</v>
      </c>
      <c r="B18">
        <v>-0.66</v>
      </c>
    </row>
    <row r="19" spans="1:2" x14ac:dyDescent="0.3">
      <c r="A19" s="56" t="s">
        <v>315</v>
      </c>
      <c r="B19">
        <v>-1.98</v>
      </c>
    </row>
    <row r="20" spans="1:2" x14ac:dyDescent="0.3">
      <c r="A20" s="56" t="s">
        <v>316</v>
      </c>
      <c r="B20">
        <v>-3</v>
      </c>
    </row>
    <row r="21" spans="1:2" x14ac:dyDescent="0.3">
      <c r="A21" s="56" t="s">
        <v>320</v>
      </c>
      <c r="B21">
        <v>-2.64</v>
      </c>
    </row>
    <row r="22" spans="1:2" x14ac:dyDescent="0.3">
      <c r="A22" s="56" t="s">
        <v>309</v>
      </c>
      <c r="B22">
        <v>-22.6</v>
      </c>
    </row>
  </sheetData>
  <pageMargins left="0.7" right="0.7" top="0.75" bottom="0.75" header="0.3" footer="0.3"/>
  <drawing r:id="rId2"/>
  <tableParts count="1">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AF7B4-6879-494C-BDC0-78FF636DC00C}">
  <dimension ref="A1:Q216"/>
  <sheetViews>
    <sheetView topLeftCell="A114" workbookViewId="0">
      <selection activeCell="P152" sqref="P152"/>
    </sheetView>
  </sheetViews>
  <sheetFormatPr defaultRowHeight="14.4" x14ac:dyDescent="0.3"/>
  <cols>
    <col min="1" max="1" width="12.21875" bestFit="1" customWidth="1"/>
    <col min="2" max="2" width="20.5546875" bestFit="1" customWidth="1"/>
    <col min="3" max="3" width="12.5546875" bestFit="1" customWidth="1"/>
    <col min="4" max="4" width="134.109375" bestFit="1" customWidth="1"/>
    <col min="5" max="5" width="22.5546875" bestFit="1" customWidth="1"/>
    <col min="6" max="6" width="17.88671875" bestFit="1" customWidth="1"/>
    <col min="7" max="7" width="8.5546875" bestFit="1" customWidth="1"/>
    <col min="8" max="8" width="19.109375" bestFit="1" customWidth="1"/>
    <col min="9" max="9" width="25.77734375" bestFit="1" customWidth="1"/>
    <col min="10" max="10" width="19.88671875" bestFit="1" customWidth="1"/>
    <col min="11" max="11" width="22.88671875" bestFit="1" customWidth="1"/>
    <col min="12" max="12" width="14.33203125" bestFit="1" customWidth="1"/>
    <col min="13" max="13" width="9.109375" bestFit="1" customWidth="1"/>
    <col min="14" max="14" width="147.33203125" bestFit="1" customWidth="1"/>
    <col min="15" max="15" width="56.5546875" bestFit="1" customWidth="1"/>
    <col min="16" max="16" width="177.77734375" bestFit="1" customWidth="1"/>
    <col min="17" max="17" width="22.88671875" bestFit="1" customWidth="1"/>
  </cols>
  <sheetData>
    <row r="1" spans="1:17" x14ac:dyDescent="0.3">
      <c r="A1" s="12" t="s">
        <v>10</v>
      </c>
      <c r="B1" s="13" t="s">
        <v>9</v>
      </c>
      <c r="C1" s="13" t="s">
        <v>18</v>
      </c>
      <c r="D1" s="13" t="s">
        <v>64</v>
      </c>
      <c r="E1" s="13" t="s">
        <v>71</v>
      </c>
      <c r="F1" s="13" t="s">
        <v>572</v>
      </c>
      <c r="G1" s="13" t="s">
        <v>239</v>
      </c>
      <c r="H1" s="13" t="s">
        <v>244</v>
      </c>
      <c r="I1" s="13" t="s">
        <v>240</v>
      </c>
      <c r="J1" s="13" t="s">
        <v>241</v>
      </c>
      <c r="K1" s="13" t="s">
        <v>242</v>
      </c>
      <c r="L1" s="13" t="s">
        <v>571</v>
      </c>
      <c r="M1" s="13" t="s">
        <v>487</v>
      </c>
      <c r="N1" s="13" t="s">
        <v>488</v>
      </c>
      <c r="O1" s="13" t="s">
        <v>384</v>
      </c>
      <c r="P1" s="13" t="s">
        <v>641</v>
      </c>
      <c r="Q1" s="13" t="s">
        <v>642</v>
      </c>
    </row>
    <row r="2" spans="1:17" ht="14.4" customHeight="1" x14ac:dyDescent="0.3">
      <c r="A2" s="10">
        <v>11</v>
      </c>
      <c r="B2" s="1" t="s">
        <v>7</v>
      </c>
      <c r="C2" s="2">
        <v>42295</v>
      </c>
      <c r="D2" s="1" t="s">
        <v>13</v>
      </c>
      <c r="E2" s="1" t="s">
        <v>120</v>
      </c>
      <c r="F2" s="87">
        <v>-2</v>
      </c>
      <c r="G2" s="1">
        <f>SUM(Slovenia_Policies_Table[[#This Row],[Impact on Country]:[Impact on EU Relations]])</f>
        <v>-2</v>
      </c>
      <c r="H2" s="1">
        <v>0</v>
      </c>
      <c r="I2" s="1">
        <v>-1</v>
      </c>
      <c r="J2" s="1">
        <v>-1</v>
      </c>
      <c r="K2" s="1">
        <v>0</v>
      </c>
      <c r="L2" s="85" cm="1">
        <f t="array" ref="L2">_xlfn.SWITCH(Slovenia_Policies_Table[[#This Row],[Impact]], "High", 1, "Medium", 0.66, "Low", 0.33)</f>
        <v>1</v>
      </c>
      <c r="M2" s="48" t="s">
        <v>489</v>
      </c>
      <c r="N2" s="48" t="s">
        <v>492</v>
      </c>
      <c r="O2" s="48" t="s">
        <v>385</v>
      </c>
      <c r="P2" s="86" t="s">
        <v>11</v>
      </c>
      <c r="Q2" s="48">
        <v>4</v>
      </c>
    </row>
    <row r="3" spans="1:17" ht="14.4" customHeight="1" x14ac:dyDescent="0.3">
      <c r="A3" s="10">
        <v>11</v>
      </c>
      <c r="B3" s="1" t="s">
        <v>7</v>
      </c>
      <c r="C3" s="2">
        <v>42298</v>
      </c>
      <c r="D3" s="1" t="s">
        <v>14</v>
      </c>
      <c r="E3" s="1" t="s">
        <v>120</v>
      </c>
      <c r="F3" s="87">
        <v>0</v>
      </c>
      <c r="G3" s="1">
        <f>SUM(Slovenia_Policies_Table[[#This Row],[Impact on Country]:[Impact on EU Relations]])</f>
        <v>0</v>
      </c>
      <c r="H3" s="1">
        <v>1</v>
      </c>
      <c r="I3" s="1">
        <v>0</v>
      </c>
      <c r="J3" s="1">
        <v>-1</v>
      </c>
      <c r="K3" s="1">
        <v>0</v>
      </c>
      <c r="L3" s="75" cm="1">
        <f t="array" ref="L3">_xlfn.SWITCH(Slovenia_Policies_Table[[#This Row],[Impact]], "High", 1, "Medium", 0.66, "Low", 0.33)</f>
        <v>0.66</v>
      </c>
      <c r="M3" s="1" t="s">
        <v>490</v>
      </c>
      <c r="N3" s="1" t="s">
        <v>493</v>
      </c>
      <c r="O3" s="1" t="s">
        <v>386</v>
      </c>
      <c r="P3" s="3" t="s">
        <v>12</v>
      </c>
      <c r="Q3" s="1">
        <v>6</v>
      </c>
    </row>
    <row r="4" spans="1:17" ht="14.4" customHeight="1" x14ac:dyDescent="0.3">
      <c r="A4" s="10">
        <v>11</v>
      </c>
      <c r="B4" s="1" t="s">
        <v>7</v>
      </c>
      <c r="C4" s="2">
        <v>42299</v>
      </c>
      <c r="D4" s="1" t="s">
        <v>16</v>
      </c>
      <c r="E4" s="1" t="s">
        <v>122</v>
      </c>
      <c r="F4" s="87">
        <v>1.98</v>
      </c>
      <c r="G4" s="1">
        <f>SUM(Slovenia_Policies_Table[[#This Row],[Impact on Country]:[Impact on EU Relations]])</f>
        <v>3</v>
      </c>
      <c r="H4" s="1">
        <v>1</v>
      </c>
      <c r="I4" s="1">
        <v>1</v>
      </c>
      <c r="J4" s="1">
        <v>0</v>
      </c>
      <c r="K4" s="1">
        <v>1</v>
      </c>
      <c r="L4" s="75" cm="1">
        <f t="array" ref="L4">_xlfn.SWITCH(Slovenia_Policies_Table[[#This Row],[Impact]], "High", 1, "Medium", 0.66, "Low", 0.33)</f>
        <v>0.66</v>
      </c>
      <c r="M4" s="1" t="s">
        <v>490</v>
      </c>
      <c r="N4" s="1" t="s">
        <v>494</v>
      </c>
      <c r="O4" s="1" t="s">
        <v>385</v>
      </c>
      <c r="P4" s="3" t="s">
        <v>15</v>
      </c>
      <c r="Q4" s="1">
        <v>6</v>
      </c>
    </row>
    <row r="5" spans="1:17" ht="14.4" customHeight="1" x14ac:dyDescent="0.3">
      <c r="A5" s="10">
        <v>11</v>
      </c>
      <c r="B5" s="1" t="s">
        <v>7</v>
      </c>
      <c r="C5" s="2">
        <v>42319</v>
      </c>
      <c r="D5" s="1" t="s">
        <v>17</v>
      </c>
      <c r="E5" s="1" t="s">
        <v>120</v>
      </c>
      <c r="F5" s="87">
        <v>-3</v>
      </c>
      <c r="G5" s="1">
        <f>SUM(Slovenia_Policies_Table[[#This Row],[Impact on Country]:[Impact on EU Relations]])</f>
        <v>-3</v>
      </c>
      <c r="H5" s="1">
        <v>0</v>
      </c>
      <c r="I5" s="1">
        <v>-1</v>
      </c>
      <c r="J5" s="1">
        <v>-1</v>
      </c>
      <c r="K5" s="1">
        <v>-1</v>
      </c>
      <c r="L5" s="75" cm="1">
        <f t="array" ref="L5">_xlfn.SWITCH(Slovenia_Policies_Table[[#This Row],[Impact]], "High", 1, "Medium", 0.66, "Low", 0.33)</f>
        <v>1</v>
      </c>
      <c r="M5" s="1" t="s">
        <v>489</v>
      </c>
      <c r="N5" s="1" t="s">
        <v>495</v>
      </c>
      <c r="O5" s="1" t="s">
        <v>387</v>
      </c>
      <c r="P5" s="3" t="s">
        <v>8</v>
      </c>
      <c r="Q5" s="1">
        <v>5</v>
      </c>
    </row>
    <row r="6" spans="1:17" ht="14.4" customHeight="1" x14ac:dyDescent="0.3">
      <c r="A6" s="10">
        <v>11</v>
      </c>
      <c r="B6" s="1" t="s">
        <v>7</v>
      </c>
      <c r="C6" s="2">
        <v>42423</v>
      </c>
      <c r="D6" s="1" t="s">
        <v>19</v>
      </c>
      <c r="E6" s="1" t="s">
        <v>120</v>
      </c>
      <c r="F6" s="87">
        <v>0</v>
      </c>
      <c r="G6" s="1">
        <f>SUM(Slovenia_Policies_Table[[#This Row],[Impact on Country]:[Impact on EU Relations]])</f>
        <v>0</v>
      </c>
      <c r="H6" s="1">
        <v>1</v>
      </c>
      <c r="I6" s="1">
        <v>0</v>
      </c>
      <c r="J6" s="1">
        <v>-1</v>
      </c>
      <c r="K6" s="1">
        <v>0</v>
      </c>
      <c r="L6" s="75" cm="1">
        <f t="array" ref="L6">_xlfn.SWITCH(Slovenia_Policies_Table[[#This Row],[Impact]], "High", 1, "Medium", 0.66, "Low", 0.33)</f>
        <v>0.66</v>
      </c>
      <c r="M6" s="1" t="s">
        <v>490</v>
      </c>
      <c r="N6" s="1" t="s">
        <v>496</v>
      </c>
      <c r="O6" s="1" t="s">
        <v>385</v>
      </c>
      <c r="P6" s="3" t="s">
        <v>20</v>
      </c>
      <c r="Q6" s="1">
        <v>6</v>
      </c>
    </row>
    <row r="7" spans="1:17" ht="14.4" customHeight="1" x14ac:dyDescent="0.3">
      <c r="A7" s="10">
        <v>11</v>
      </c>
      <c r="B7" s="1" t="s">
        <v>7</v>
      </c>
      <c r="C7" s="2">
        <v>42426</v>
      </c>
      <c r="D7" s="1" t="s">
        <v>21</v>
      </c>
      <c r="E7" s="1" t="s">
        <v>120</v>
      </c>
      <c r="F7" s="87">
        <v>-2</v>
      </c>
      <c r="G7" s="1">
        <f>SUM(Slovenia_Policies_Table[[#This Row],[Impact on Country]:[Impact on EU Relations]])</f>
        <v>-2</v>
      </c>
      <c r="H7" s="1">
        <v>0</v>
      </c>
      <c r="I7" s="1">
        <v>-1</v>
      </c>
      <c r="J7" s="1">
        <v>-1</v>
      </c>
      <c r="K7" s="1">
        <v>0</v>
      </c>
      <c r="L7" s="75" cm="1">
        <f t="array" ref="L7">_xlfn.SWITCH(Slovenia_Policies_Table[[#This Row],[Impact]], "High", 1, "Medium", 0.66, "Low", 0.33)</f>
        <v>1</v>
      </c>
      <c r="M7" s="1" t="s">
        <v>489</v>
      </c>
      <c r="N7" s="1" t="s">
        <v>497</v>
      </c>
      <c r="O7" s="1" t="s">
        <v>386</v>
      </c>
      <c r="P7" s="3" t="s">
        <v>22</v>
      </c>
      <c r="Q7" s="1">
        <v>4</v>
      </c>
    </row>
    <row r="8" spans="1:17" ht="14.4" customHeight="1" x14ac:dyDescent="0.3">
      <c r="A8" s="10">
        <v>11</v>
      </c>
      <c r="B8" s="1" t="s">
        <v>7</v>
      </c>
      <c r="C8" s="2">
        <v>42434</v>
      </c>
      <c r="D8" s="1" t="s">
        <v>23</v>
      </c>
      <c r="E8" s="1" t="s">
        <v>123</v>
      </c>
      <c r="F8" s="87">
        <v>0</v>
      </c>
      <c r="G8" s="1">
        <f>SUM(Slovenia_Policies_Table[[#This Row],[Impact on Country]:[Impact on EU Relations]])</f>
        <v>0</v>
      </c>
      <c r="H8" s="1">
        <v>1</v>
      </c>
      <c r="I8" s="1">
        <v>0</v>
      </c>
      <c r="J8" s="1">
        <v>-1</v>
      </c>
      <c r="K8" s="1">
        <v>0</v>
      </c>
      <c r="L8" s="75" cm="1">
        <f t="array" ref="L8">_xlfn.SWITCH(Slovenia_Policies_Table[[#This Row],[Impact]], "High", 1, "Medium", 0.66, "Low", 0.33)</f>
        <v>0.66</v>
      </c>
      <c r="M8" s="1" t="s">
        <v>490</v>
      </c>
      <c r="N8" s="1" t="s">
        <v>498</v>
      </c>
      <c r="O8" s="1" t="s">
        <v>385</v>
      </c>
      <c r="P8" s="3" t="s">
        <v>24</v>
      </c>
      <c r="Q8" s="1">
        <v>5</v>
      </c>
    </row>
    <row r="9" spans="1:17" ht="14.4" customHeight="1" x14ac:dyDescent="0.3">
      <c r="A9" s="10">
        <v>11</v>
      </c>
      <c r="B9" s="1" t="s">
        <v>7</v>
      </c>
      <c r="C9" s="2">
        <v>42438</v>
      </c>
      <c r="D9" s="1" t="s">
        <v>25</v>
      </c>
      <c r="E9" s="1" t="s">
        <v>120</v>
      </c>
      <c r="F9" s="87">
        <v>-1</v>
      </c>
      <c r="G9" s="1">
        <f>SUM(Slovenia_Policies_Table[[#This Row],[Impact on Country]:[Impact on EU Relations]])</f>
        <v>-1</v>
      </c>
      <c r="H9" s="1">
        <v>1</v>
      </c>
      <c r="I9" s="1">
        <v>-1</v>
      </c>
      <c r="J9" s="1">
        <v>-1</v>
      </c>
      <c r="K9" s="1">
        <v>0</v>
      </c>
      <c r="L9" s="75" cm="1">
        <f t="array" ref="L9">_xlfn.SWITCH(Slovenia_Policies_Table[[#This Row],[Impact]], "High", 1, "Medium", 0.66, "Low", 0.33)</f>
        <v>1</v>
      </c>
      <c r="M9" s="1" t="s">
        <v>489</v>
      </c>
      <c r="N9" s="1" t="s">
        <v>499</v>
      </c>
      <c r="O9" s="1" t="s">
        <v>388</v>
      </c>
      <c r="P9" s="3" t="s">
        <v>26</v>
      </c>
      <c r="Q9" s="1">
        <v>4</v>
      </c>
    </row>
    <row r="10" spans="1:17" ht="14.4" customHeight="1" x14ac:dyDescent="0.3">
      <c r="A10" s="10">
        <v>11</v>
      </c>
      <c r="B10" s="1" t="s">
        <v>7</v>
      </c>
      <c r="C10" s="2">
        <v>42484</v>
      </c>
      <c r="D10" s="1" t="s">
        <v>27</v>
      </c>
      <c r="E10" s="1" t="s">
        <v>123</v>
      </c>
      <c r="F10" s="87">
        <v>2</v>
      </c>
      <c r="G10" s="1">
        <f>SUM(Slovenia_Policies_Table[[#This Row],[Impact on Country]:[Impact on EU Relations]])</f>
        <v>2</v>
      </c>
      <c r="H10" s="1">
        <v>1</v>
      </c>
      <c r="I10" s="1">
        <v>0</v>
      </c>
      <c r="J10" s="1">
        <v>0</v>
      </c>
      <c r="K10" s="1">
        <v>1</v>
      </c>
      <c r="L10" s="75" cm="1">
        <f t="array" ref="L10">_xlfn.SWITCH(Slovenia_Policies_Table[[#This Row],[Impact]], "High", 1, "Medium", 0.66, "Low", 0.33)</f>
        <v>1</v>
      </c>
      <c r="M10" s="1" t="s">
        <v>489</v>
      </c>
      <c r="N10" s="1" t="s">
        <v>500</v>
      </c>
      <c r="O10" s="1" t="s">
        <v>412</v>
      </c>
      <c r="P10" s="3" t="s">
        <v>28</v>
      </c>
      <c r="Q10" s="1">
        <v>3</v>
      </c>
    </row>
    <row r="11" spans="1:17" ht="14.4" customHeight="1" x14ac:dyDescent="0.3">
      <c r="A11" s="10">
        <v>11</v>
      </c>
      <c r="B11" s="1" t="s">
        <v>7</v>
      </c>
      <c r="C11" s="2">
        <v>42736</v>
      </c>
      <c r="D11" s="1" t="s">
        <v>33</v>
      </c>
      <c r="E11" s="1" t="s">
        <v>123</v>
      </c>
      <c r="F11" s="87">
        <v>1.98</v>
      </c>
      <c r="G11" s="1">
        <f>SUM(Slovenia_Policies_Table[[#This Row],[Impact on Country]:[Impact on EU Relations]])</f>
        <v>3</v>
      </c>
      <c r="H11" s="1">
        <v>1</v>
      </c>
      <c r="I11" s="1">
        <v>0</v>
      </c>
      <c r="J11" s="1">
        <v>1</v>
      </c>
      <c r="K11" s="1">
        <v>1</v>
      </c>
      <c r="L11" s="75" cm="1">
        <f t="array" ref="L11">_xlfn.SWITCH(Slovenia_Policies_Table[[#This Row],[Impact]], "High", 1, "Medium", 0.66, "Low", 0.33)</f>
        <v>0.66</v>
      </c>
      <c r="M11" s="1" t="s">
        <v>490</v>
      </c>
      <c r="N11" s="1" t="s">
        <v>501</v>
      </c>
      <c r="O11" s="1" t="s">
        <v>412</v>
      </c>
      <c r="P11" s="3" t="s">
        <v>34</v>
      </c>
      <c r="Q11" s="1">
        <v>3</v>
      </c>
    </row>
    <row r="12" spans="1:17" ht="14.4" customHeight="1" x14ac:dyDescent="0.3">
      <c r="A12" s="10">
        <v>11</v>
      </c>
      <c r="B12" s="1" t="s">
        <v>7</v>
      </c>
      <c r="C12" s="2">
        <v>42761</v>
      </c>
      <c r="D12" s="1" t="s">
        <v>29</v>
      </c>
      <c r="E12" s="1" t="s">
        <v>123</v>
      </c>
      <c r="F12" s="87">
        <v>-2</v>
      </c>
      <c r="G12" s="1">
        <f>SUM(Slovenia_Policies_Table[[#This Row],[Impact on Country]:[Impact on EU Relations]])</f>
        <v>-2</v>
      </c>
      <c r="H12" s="1">
        <v>1</v>
      </c>
      <c r="I12" s="1">
        <v>-1</v>
      </c>
      <c r="J12" s="1">
        <v>-1</v>
      </c>
      <c r="K12" s="1">
        <v>-1</v>
      </c>
      <c r="L12" s="75" cm="1">
        <f t="array" ref="L12">_xlfn.SWITCH(Slovenia_Policies_Table[[#This Row],[Impact]], "High", 1, "Medium", 0.66, "Low", 0.33)</f>
        <v>1</v>
      </c>
      <c r="M12" s="1" t="s">
        <v>489</v>
      </c>
      <c r="N12" s="1" t="s">
        <v>502</v>
      </c>
      <c r="O12" s="1" t="s">
        <v>389</v>
      </c>
      <c r="P12" s="3" t="s">
        <v>382</v>
      </c>
      <c r="Q12" s="1">
        <v>4</v>
      </c>
    </row>
    <row r="13" spans="1:17" ht="14.4" customHeight="1" x14ac:dyDescent="0.3">
      <c r="A13" s="10">
        <v>11</v>
      </c>
      <c r="B13" s="1" t="s">
        <v>7</v>
      </c>
      <c r="C13" s="2">
        <v>43191</v>
      </c>
      <c r="D13" s="1" t="s">
        <v>31</v>
      </c>
      <c r="E13" s="1" t="s">
        <v>122</v>
      </c>
      <c r="F13" s="87">
        <v>2.64</v>
      </c>
      <c r="G13" s="1">
        <f>SUM(Slovenia_Policies_Table[[#This Row],[Impact on Country]:[Impact on EU Relations]])</f>
        <v>4</v>
      </c>
      <c r="H13" s="1">
        <v>1</v>
      </c>
      <c r="I13" s="1">
        <v>1</v>
      </c>
      <c r="J13" s="1">
        <v>1</v>
      </c>
      <c r="K13" s="1">
        <v>1</v>
      </c>
      <c r="L13" s="75" cm="1">
        <f t="array" ref="L13">_xlfn.SWITCH(Slovenia_Policies_Table[[#This Row],[Impact]], "High", 1, "Medium", 0.66, "Low", 0.33)</f>
        <v>0.66</v>
      </c>
      <c r="M13" s="1" t="s">
        <v>490</v>
      </c>
      <c r="N13" s="1" t="s">
        <v>503</v>
      </c>
      <c r="O13" s="1" t="s">
        <v>404</v>
      </c>
      <c r="P13" s="3" t="s">
        <v>30</v>
      </c>
      <c r="Q13" s="1">
        <v>5</v>
      </c>
    </row>
    <row r="14" spans="1:17" ht="14.4" customHeight="1" x14ac:dyDescent="0.3">
      <c r="A14" s="10">
        <v>11</v>
      </c>
      <c r="B14" s="1" t="s">
        <v>7</v>
      </c>
      <c r="C14" s="2">
        <v>43390</v>
      </c>
      <c r="D14" s="1" t="s">
        <v>32</v>
      </c>
      <c r="E14" s="1" t="s">
        <v>122</v>
      </c>
      <c r="F14" s="87">
        <v>1.32</v>
      </c>
      <c r="G14" s="1">
        <f>SUM(Slovenia_Policies_Table[[#This Row],[Impact on Country]:[Impact on EU Relations]])</f>
        <v>4</v>
      </c>
      <c r="H14" s="1">
        <v>1</v>
      </c>
      <c r="I14" s="1">
        <v>1</v>
      </c>
      <c r="J14" s="1">
        <v>1</v>
      </c>
      <c r="K14" s="1">
        <v>1</v>
      </c>
      <c r="L14" s="75" cm="1">
        <f t="array" ref="L14">_xlfn.SWITCH(Slovenia_Policies_Table[[#This Row],[Impact]], "High", 1, "Medium", 0.66, "Low", 0.33)</f>
        <v>0.33</v>
      </c>
      <c r="M14" s="1" t="s">
        <v>491</v>
      </c>
      <c r="N14" s="1" t="s">
        <v>504</v>
      </c>
      <c r="O14" s="1" t="s">
        <v>405</v>
      </c>
      <c r="P14" s="3" t="s">
        <v>30</v>
      </c>
      <c r="Q14" s="1">
        <v>5</v>
      </c>
    </row>
    <row r="15" spans="1:17" ht="14.4" customHeight="1" x14ac:dyDescent="0.3">
      <c r="A15" s="10">
        <v>11</v>
      </c>
      <c r="B15" s="1" t="s">
        <v>7</v>
      </c>
      <c r="C15" s="2">
        <v>43664</v>
      </c>
      <c r="D15" s="1" t="s">
        <v>126</v>
      </c>
      <c r="E15" s="1" t="s">
        <v>123</v>
      </c>
      <c r="F15" s="87">
        <v>1.32</v>
      </c>
      <c r="G15" s="1">
        <f>SUM(Slovenia_Policies_Table[[#This Row],[Impact on Country]:[Impact on EU Relations]])</f>
        <v>2</v>
      </c>
      <c r="H15" s="1">
        <v>1</v>
      </c>
      <c r="I15" s="1">
        <v>0</v>
      </c>
      <c r="J15" s="1">
        <v>0</v>
      </c>
      <c r="K15" s="1">
        <v>1</v>
      </c>
      <c r="L15" s="75" cm="1">
        <f t="array" ref="L15">_xlfn.SWITCH(Slovenia_Policies_Table[[#This Row],[Impact]], "High", 1, "Medium", 0.66, "Low", 0.33)</f>
        <v>0.66</v>
      </c>
      <c r="M15" s="1" t="s">
        <v>490</v>
      </c>
      <c r="N15" s="1" t="s">
        <v>505</v>
      </c>
      <c r="O15" s="1" t="s">
        <v>390</v>
      </c>
      <c r="P15" s="3" t="s">
        <v>61</v>
      </c>
      <c r="Q15" s="1">
        <v>3</v>
      </c>
    </row>
    <row r="16" spans="1:17" ht="14.4" customHeight="1" x14ac:dyDescent="0.3">
      <c r="A16" s="10">
        <v>11</v>
      </c>
      <c r="B16" s="1" t="s">
        <v>7</v>
      </c>
      <c r="C16" s="2">
        <v>43699</v>
      </c>
      <c r="D16" s="1" t="s">
        <v>35</v>
      </c>
      <c r="E16" s="1" t="s">
        <v>120</v>
      </c>
      <c r="F16" s="87">
        <v>-1.98</v>
      </c>
      <c r="G16" s="1">
        <f>SUM(Slovenia_Policies_Table[[#This Row],[Impact on Country]:[Impact on EU Relations]])</f>
        <v>-3</v>
      </c>
      <c r="H16" s="1">
        <v>0</v>
      </c>
      <c r="I16" s="1">
        <v>-1</v>
      </c>
      <c r="J16" s="1">
        <v>-1</v>
      </c>
      <c r="K16" s="1">
        <v>-1</v>
      </c>
      <c r="L16" s="75" cm="1">
        <f t="array" ref="L16">_xlfn.SWITCH(Slovenia_Policies_Table[[#This Row],[Impact]], "High", 1, "Medium", 0.66, "Low", 0.33)</f>
        <v>0.66</v>
      </c>
      <c r="M16" s="1" t="s">
        <v>490</v>
      </c>
      <c r="N16" s="1" t="s">
        <v>506</v>
      </c>
      <c r="O16" s="1" t="s">
        <v>391</v>
      </c>
      <c r="P16" s="3" t="s">
        <v>36</v>
      </c>
      <c r="Q16" s="1">
        <v>6</v>
      </c>
    </row>
    <row r="17" spans="1:17" ht="14.4" customHeight="1" x14ac:dyDescent="0.3">
      <c r="A17" s="10">
        <v>11</v>
      </c>
      <c r="B17" s="1" t="s">
        <v>7</v>
      </c>
      <c r="C17" s="2">
        <v>43922</v>
      </c>
      <c r="D17" s="1" t="s">
        <v>38</v>
      </c>
      <c r="E17" s="1" t="s">
        <v>121</v>
      </c>
      <c r="F17" s="87">
        <v>-1</v>
      </c>
      <c r="G17" s="1">
        <f>SUM(Slovenia_Policies_Table[[#This Row],[Impact on Country]:[Impact on EU Relations]])</f>
        <v>-1</v>
      </c>
      <c r="H17" s="1">
        <v>0</v>
      </c>
      <c r="I17" s="1">
        <v>0</v>
      </c>
      <c r="J17" s="1">
        <v>-1</v>
      </c>
      <c r="K17" s="1">
        <v>0</v>
      </c>
      <c r="L17" s="75" cm="1">
        <f t="array" ref="L17">_xlfn.SWITCH(Slovenia_Policies_Table[[#This Row],[Impact]], "High", 1, "Medium", 0.66, "Low", 0.33)</f>
        <v>1</v>
      </c>
      <c r="M17" s="1" t="s">
        <v>489</v>
      </c>
      <c r="N17" s="1" t="s">
        <v>507</v>
      </c>
      <c r="O17" s="1" t="s">
        <v>392</v>
      </c>
      <c r="P17" s="3" t="s">
        <v>37</v>
      </c>
      <c r="Q17" s="1">
        <v>5</v>
      </c>
    </row>
    <row r="18" spans="1:17" ht="14.4" customHeight="1" x14ac:dyDescent="0.3">
      <c r="A18" s="10">
        <v>11</v>
      </c>
      <c r="B18" s="1" t="s">
        <v>7</v>
      </c>
      <c r="C18" s="2">
        <v>44281</v>
      </c>
      <c r="D18" s="1" t="s">
        <v>40</v>
      </c>
      <c r="E18" s="1" t="s">
        <v>123</v>
      </c>
      <c r="F18" s="87">
        <v>-2</v>
      </c>
      <c r="G18" s="1">
        <f>SUM(Slovenia_Policies_Table[[#This Row],[Impact on Country]:[Impact on EU Relations]])</f>
        <v>-2</v>
      </c>
      <c r="H18" s="1">
        <v>1</v>
      </c>
      <c r="I18" s="1">
        <v>-1</v>
      </c>
      <c r="J18" s="1">
        <v>-1</v>
      </c>
      <c r="K18" s="1">
        <v>-1</v>
      </c>
      <c r="L18" s="75" cm="1">
        <f t="array" ref="L18">_xlfn.SWITCH(Slovenia_Policies_Table[[#This Row],[Impact]], "High", 1, "Medium", 0.66, "Low", 0.33)</f>
        <v>1</v>
      </c>
      <c r="M18" s="1" t="s">
        <v>489</v>
      </c>
      <c r="N18" s="1" t="s">
        <v>508</v>
      </c>
      <c r="O18" s="1" t="s">
        <v>392</v>
      </c>
      <c r="P18" s="3" t="s">
        <v>39</v>
      </c>
      <c r="Q18" s="1">
        <v>5</v>
      </c>
    </row>
    <row r="19" spans="1:17" ht="14.4" customHeight="1" x14ac:dyDescent="0.3">
      <c r="A19" s="10">
        <v>11</v>
      </c>
      <c r="B19" s="1" t="s">
        <v>7</v>
      </c>
      <c r="C19" s="2">
        <v>44509</v>
      </c>
      <c r="D19" s="1" t="s">
        <v>41</v>
      </c>
      <c r="E19" s="1" t="s">
        <v>123</v>
      </c>
      <c r="F19" s="87">
        <v>-1.32</v>
      </c>
      <c r="G19" s="1">
        <f>SUM(Slovenia_Policies_Table[[#This Row],[Impact on Country]:[Impact on EU Relations]])</f>
        <v>-2</v>
      </c>
      <c r="H19" s="1">
        <v>1</v>
      </c>
      <c r="I19" s="1">
        <v>-1</v>
      </c>
      <c r="J19" s="1">
        <v>-1</v>
      </c>
      <c r="K19" s="1">
        <v>-1</v>
      </c>
      <c r="L19" s="75" cm="1">
        <f t="array" ref="L19">_xlfn.SWITCH(Slovenia_Policies_Table[[#This Row],[Impact]], "High", 1, "Medium", 0.66, "Low", 0.33)</f>
        <v>0.66</v>
      </c>
      <c r="M19" s="1" t="s">
        <v>490</v>
      </c>
      <c r="N19" s="1" t="s">
        <v>509</v>
      </c>
      <c r="O19" s="1" t="s">
        <v>392</v>
      </c>
      <c r="P19" s="3" t="s">
        <v>42</v>
      </c>
      <c r="Q19" s="1">
        <v>5</v>
      </c>
    </row>
    <row r="20" spans="1:17" ht="14.4" customHeight="1" x14ac:dyDescent="0.3">
      <c r="A20" s="10">
        <v>11</v>
      </c>
      <c r="B20" s="1" t="s">
        <v>7</v>
      </c>
      <c r="C20" s="2">
        <v>44734</v>
      </c>
      <c r="D20" s="1" t="s">
        <v>62</v>
      </c>
      <c r="E20" s="1" t="s">
        <v>122</v>
      </c>
      <c r="F20" s="87">
        <v>0.99</v>
      </c>
      <c r="G20" s="1">
        <f>SUM(Slovenia_Policies_Table[[#This Row],[Impact on Country]:[Impact on EU Relations]])</f>
        <v>3</v>
      </c>
      <c r="H20" s="1">
        <v>1</v>
      </c>
      <c r="I20" s="1">
        <v>1</v>
      </c>
      <c r="J20" s="1">
        <v>0</v>
      </c>
      <c r="K20" s="1">
        <v>1</v>
      </c>
      <c r="L20" s="75" cm="1">
        <f t="array" ref="L20">_xlfn.SWITCH(Slovenia_Policies_Table[[#This Row],[Impact]], "High", 1, "Medium", 0.66, "Low", 0.33)</f>
        <v>0.33</v>
      </c>
      <c r="M20" s="1" t="s">
        <v>491</v>
      </c>
      <c r="N20" s="1" t="s">
        <v>510</v>
      </c>
      <c r="O20" s="1" t="s">
        <v>390</v>
      </c>
      <c r="P20" s="3" t="s">
        <v>63</v>
      </c>
      <c r="Q20" s="1">
        <v>7</v>
      </c>
    </row>
    <row r="21" spans="1:17" ht="14.4" customHeight="1" x14ac:dyDescent="0.3">
      <c r="A21" s="10">
        <v>11</v>
      </c>
      <c r="B21" s="1" t="s">
        <v>7</v>
      </c>
      <c r="C21" s="2">
        <v>44756</v>
      </c>
      <c r="D21" s="1" t="s">
        <v>43</v>
      </c>
      <c r="E21" s="1" t="s">
        <v>120</v>
      </c>
      <c r="F21" s="87">
        <v>4</v>
      </c>
      <c r="G21" s="1">
        <f>SUM(Slovenia_Policies_Table[[#This Row],[Impact on Country]:[Impact on EU Relations]])</f>
        <v>4</v>
      </c>
      <c r="H21" s="1">
        <v>1</v>
      </c>
      <c r="I21" s="1">
        <v>1</v>
      </c>
      <c r="J21" s="1">
        <v>1</v>
      </c>
      <c r="K21" s="1">
        <v>1</v>
      </c>
      <c r="L21" s="75" cm="1">
        <f t="array" ref="L21">_xlfn.SWITCH(Slovenia_Policies_Table[[#This Row],[Impact]], "High", 1, "Medium", 0.66, "Low", 0.33)</f>
        <v>1</v>
      </c>
      <c r="M21" s="1" t="s">
        <v>489</v>
      </c>
      <c r="N21" s="1" t="s">
        <v>511</v>
      </c>
      <c r="O21" s="1" t="s">
        <v>393</v>
      </c>
      <c r="P21" s="3" t="s">
        <v>44</v>
      </c>
      <c r="Q21" s="1">
        <v>6</v>
      </c>
    </row>
    <row r="22" spans="1:17" ht="14.4" customHeight="1" x14ac:dyDescent="0.3">
      <c r="A22" s="10">
        <v>11</v>
      </c>
      <c r="B22" s="1" t="s">
        <v>7</v>
      </c>
      <c r="C22" s="2">
        <v>44896</v>
      </c>
      <c r="D22" s="1" t="s">
        <v>45</v>
      </c>
      <c r="E22" s="1" t="s">
        <v>122</v>
      </c>
      <c r="F22" s="87">
        <v>2.64</v>
      </c>
      <c r="G22" s="1">
        <f>SUM(Slovenia_Policies_Table[[#This Row],[Impact on Country]:[Impact on EU Relations]])</f>
        <v>4</v>
      </c>
      <c r="H22" s="1">
        <v>1</v>
      </c>
      <c r="I22" s="1">
        <v>1</v>
      </c>
      <c r="J22" s="1">
        <v>1</v>
      </c>
      <c r="K22" s="1">
        <v>1</v>
      </c>
      <c r="L22" s="75" cm="1">
        <f t="array" ref="L22">_xlfn.SWITCH(Slovenia_Policies_Table[[#This Row],[Impact]], "High", 1, "Medium", 0.66, "Low", 0.33)</f>
        <v>0.66</v>
      </c>
      <c r="M22" s="1" t="s">
        <v>490</v>
      </c>
      <c r="N22" s="1" t="s">
        <v>512</v>
      </c>
      <c r="O22" s="1" t="s">
        <v>390</v>
      </c>
      <c r="P22" s="3" t="s">
        <v>46</v>
      </c>
      <c r="Q22" s="1">
        <v>3</v>
      </c>
    </row>
    <row r="23" spans="1:17" ht="14.4" customHeight="1" x14ac:dyDescent="0.3">
      <c r="A23" s="10">
        <v>11</v>
      </c>
      <c r="B23" s="1" t="s">
        <v>7</v>
      </c>
      <c r="C23" s="2">
        <v>44944</v>
      </c>
      <c r="D23" s="1" t="s">
        <v>65</v>
      </c>
      <c r="E23" t="s">
        <v>123</v>
      </c>
      <c r="F23" s="87">
        <v>1.98</v>
      </c>
      <c r="G23" s="1">
        <f>SUM(Slovenia_Policies_Table[[#This Row],[Impact on Country]:[Impact on EU Relations]])</f>
        <v>3</v>
      </c>
      <c r="H23" s="1">
        <v>1</v>
      </c>
      <c r="I23" s="1">
        <v>0</v>
      </c>
      <c r="J23" s="1">
        <v>1</v>
      </c>
      <c r="K23" s="1">
        <v>1</v>
      </c>
      <c r="L23" s="75" cm="1">
        <f t="array" ref="L23">_xlfn.SWITCH(Slovenia_Policies_Table[[#This Row],[Impact]], "High", 1, "Medium", 0.66, "Low", 0.33)</f>
        <v>0.66</v>
      </c>
      <c r="M23" s="1" t="s">
        <v>490</v>
      </c>
      <c r="N23" s="1" t="s">
        <v>513</v>
      </c>
      <c r="O23" s="1" t="s">
        <v>390</v>
      </c>
      <c r="P23" s="3" t="s">
        <v>66</v>
      </c>
      <c r="Q23" s="1">
        <v>5</v>
      </c>
    </row>
    <row r="24" spans="1:17" ht="14.4" customHeight="1" x14ac:dyDescent="0.3">
      <c r="A24" s="10">
        <v>11</v>
      </c>
      <c r="B24" s="1" t="s">
        <v>7</v>
      </c>
      <c r="C24" s="2">
        <v>45013</v>
      </c>
      <c r="D24" s="1" t="s">
        <v>47</v>
      </c>
      <c r="E24" t="s">
        <v>123</v>
      </c>
      <c r="F24" s="87">
        <v>3</v>
      </c>
      <c r="G24" s="1">
        <f>SUM(Slovenia_Policies_Table[[#This Row],[Impact on Country]:[Impact on EU Relations]])</f>
        <v>3</v>
      </c>
      <c r="H24" s="1">
        <v>1</v>
      </c>
      <c r="I24" s="1">
        <v>0</v>
      </c>
      <c r="J24" s="1">
        <v>1</v>
      </c>
      <c r="K24" s="1">
        <v>1</v>
      </c>
      <c r="L24" s="75" cm="1">
        <f t="array" ref="L24">_xlfn.SWITCH(Slovenia_Policies_Table[[#This Row],[Impact]], "High", 1, "Medium", 0.66, "Low", 0.33)</f>
        <v>1</v>
      </c>
      <c r="M24" s="1" t="s">
        <v>489</v>
      </c>
      <c r="N24" s="1" t="s">
        <v>514</v>
      </c>
      <c r="O24" s="1" t="s">
        <v>390</v>
      </c>
      <c r="P24" s="3" t="s">
        <v>48</v>
      </c>
      <c r="Q24" s="1">
        <v>4</v>
      </c>
    </row>
    <row r="25" spans="1:17" ht="14.4" customHeight="1" x14ac:dyDescent="0.3">
      <c r="A25" s="10">
        <v>11</v>
      </c>
      <c r="B25" s="1" t="s">
        <v>7</v>
      </c>
      <c r="C25" s="2">
        <v>45219</v>
      </c>
      <c r="D25" s="1" t="s">
        <v>49</v>
      </c>
      <c r="E25" s="1" t="s">
        <v>120</v>
      </c>
      <c r="F25" s="87">
        <v>-3</v>
      </c>
      <c r="G25" s="1">
        <f>SUM(Slovenia_Policies_Table[[#This Row],[Impact on Country]:[Impact on EU Relations]])</f>
        <v>-3</v>
      </c>
      <c r="H25" s="1">
        <v>0</v>
      </c>
      <c r="I25" s="1">
        <v>-1</v>
      </c>
      <c r="J25" s="1">
        <v>-1</v>
      </c>
      <c r="K25" s="1">
        <v>-1</v>
      </c>
      <c r="L25" s="75" cm="1">
        <f t="array" ref="L25">_xlfn.SWITCH(Slovenia_Policies_Table[[#This Row],[Impact]], "High", 1, "Medium", 0.66, "Low", 0.33)</f>
        <v>1</v>
      </c>
      <c r="M25" s="1" t="s">
        <v>489</v>
      </c>
      <c r="N25" s="1" t="s">
        <v>515</v>
      </c>
      <c r="O25" s="1" t="s">
        <v>394</v>
      </c>
      <c r="P25" s="3" t="s">
        <v>55</v>
      </c>
      <c r="Q25" s="1">
        <v>5</v>
      </c>
    </row>
    <row r="26" spans="1:17" ht="14.4" customHeight="1" x14ac:dyDescent="0.3">
      <c r="A26" s="10">
        <v>11</v>
      </c>
      <c r="B26" s="1" t="s">
        <v>7</v>
      </c>
      <c r="C26" s="2">
        <v>45275</v>
      </c>
      <c r="D26" s="1" t="s">
        <v>50</v>
      </c>
      <c r="E26" s="1" t="s">
        <v>122</v>
      </c>
      <c r="F26" s="87">
        <v>1.32</v>
      </c>
      <c r="G26" s="1">
        <f>SUM(Slovenia_Policies_Table[[#This Row],[Impact on Country]:[Impact on EU Relations]])</f>
        <v>4</v>
      </c>
      <c r="H26" s="1">
        <v>1</v>
      </c>
      <c r="I26" s="1">
        <v>1</v>
      </c>
      <c r="J26" s="1">
        <v>1</v>
      </c>
      <c r="K26" s="1">
        <v>1</v>
      </c>
      <c r="L26" s="75" cm="1">
        <f t="array" ref="L26">_xlfn.SWITCH(Slovenia_Policies_Table[[#This Row],[Impact]], "High", 1, "Medium", 0.66, "Low", 0.33)</f>
        <v>0.33</v>
      </c>
      <c r="M26" s="1" t="s">
        <v>491</v>
      </c>
      <c r="N26" s="1" t="s">
        <v>516</v>
      </c>
      <c r="O26" s="1" t="s">
        <v>390</v>
      </c>
      <c r="P26" s="3" t="s">
        <v>56</v>
      </c>
      <c r="Q26" s="1">
        <v>6</v>
      </c>
    </row>
    <row r="27" spans="1:17" ht="14.4" customHeight="1" x14ac:dyDescent="0.3">
      <c r="A27" s="10">
        <v>11</v>
      </c>
      <c r="B27" s="1" t="s">
        <v>7</v>
      </c>
      <c r="C27" s="2">
        <v>45434</v>
      </c>
      <c r="D27" s="1" t="s">
        <v>51</v>
      </c>
      <c r="E27" s="1" t="s">
        <v>120</v>
      </c>
      <c r="F27" s="87">
        <v>-1.98</v>
      </c>
      <c r="G27" s="1">
        <f>SUM(Slovenia_Policies_Table[[#This Row],[Impact on Country]:[Impact on EU Relations]])</f>
        <v>-3</v>
      </c>
      <c r="H27" s="1">
        <v>0</v>
      </c>
      <c r="I27" s="1">
        <v>-1</v>
      </c>
      <c r="J27" s="1">
        <v>-1</v>
      </c>
      <c r="K27" s="1">
        <v>-1</v>
      </c>
      <c r="L27" s="75" cm="1">
        <f t="array" ref="L27">_xlfn.SWITCH(Slovenia_Policies_Table[[#This Row],[Impact]], "High", 1, "Medium", 0.66, "Low", 0.33)</f>
        <v>0.66</v>
      </c>
      <c r="M27" s="1" t="s">
        <v>490</v>
      </c>
      <c r="N27" s="1" t="s">
        <v>517</v>
      </c>
      <c r="O27" s="1" t="s">
        <v>390</v>
      </c>
      <c r="P27" s="3" t="s">
        <v>57</v>
      </c>
      <c r="Q27" s="1">
        <v>5</v>
      </c>
    </row>
    <row r="28" spans="1:17" ht="14.4" customHeight="1" x14ac:dyDescent="0.3">
      <c r="A28" s="10">
        <v>11</v>
      </c>
      <c r="B28" s="1" t="s">
        <v>7</v>
      </c>
      <c r="C28" s="2">
        <v>45462</v>
      </c>
      <c r="D28" s="1" t="s">
        <v>52</v>
      </c>
      <c r="E28" s="1" t="s">
        <v>120</v>
      </c>
      <c r="F28" s="87">
        <v>-0.99</v>
      </c>
      <c r="G28" s="1">
        <f>SUM(Slovenia_Policies_Table[[#This Row],[Impact on Country]:[Impact on EU Relations]])</f>
        <v>-3</v>
      </c>
      <c r="H28" s="1">
        <v>0</v>
      </c>
      <c r="I28" s="1">
        <v>-1</v>
      </c>
      <c r="J28" s="1">
        <v>-1</v>
      </c>
      <c r="K28" s="1">
        <v>-1</v>
      </c>
      <c r="L28" s="75" cm="1">
        <f t="array" ref="L28">_xlfn.SWITCH(Slovenia_Policies_Table[[#This Row],[Impact]], "High", 1, "Medium", 0.66, "Low", 0.33)</f>
        <v>0.33</v>
      </c>
      <c r="M28" s="1" t="s">
        <v>491</v>
      </c>
      <c r="N28" s="1" t="s">
        <v>518</v>
      </c>
      <c r="O28" s="1" t="s">
        <v>390</v>
      </c>
      <c r="P28" s="3" t="s">
        <v>58</v>
      </c>
      <c r="Q28" s="1">
        <v>5</v>
      </c>
    </row>
    <row r="29" spans="1:17" ht="14.4" customHeight="1" x14ac:dyDescent="0.3">
      <c r="A29" s="10">
        <v>11</v>
      </c>
      <c r="B29" s="1" t="s">
        <v>7</v>
      </c>
      <c r="C29" s="2">
        <v>45597</v>
      </c>
      <c r="D29" s="1" t="s">
        <v>67</v>
      </c>
      <c r="E29" t="s">
        <v>123</v>
      </c>
      <c r="F29" s="87">
        <v>-0.66</v>
      </c>
      <c r="G29" s="1">
        <f>SUM(Slovenia_Policies_Table[[#This Row],[Impact on Country]:[Impact on EU Relations]])</f>
        <v>-1</v>
      </c>
      <c r="H29" s="1">
        <v>0</v>
      </c>
      <c r="I29" s="1">
        <v>0</v>
      </c>
      <c r="J29" s="1">
        <v>-1</v>
      </c>
      <c r="K29" s="1">
        <v>0</v>
      </c>
      <c r="L29" s="75" cm="1">
        <f t="array" ref="L29">_xlfn.SWITCH(Slovenia_Policies_Table[[#This Row],[Impact]], "High", 1, "Medium", 0.66, "Low", 0.33)</f>
        <v>0.66</v>
      </c>
      <c r="M29" s="1" t="s">
        <v>490</v>
      </c>
      <c r="N29" s="1" t="s">
        <v>519</v>
      </c>
      <c r="O29" s="1" t="s">
        <v>395</v>
      </c>
      <c r="P29" s="3" t="s">
        <v>68</v>
      </c>
      <c r="Q29" s="1">
        <v>6</v>
      </c>
    </row>
    <row r="30" spans="1:17" ht="14.4" customHeight="1" x14ac:dyDescent="0.3">
      <c r="A30" s="10">
        <v>11</v>
      </c>
      <c r="B30" s="1" t="s">
        <v>7</v>
      </c>
      <c r="C30" s="2">
        <v>45646</v>
      </c>
      <c r="D30" s="1" t="s">
        <v>53</v>
      </c>
      <c r="E30" s="1" t="s">
        <v>120</v>
      </c>
      <c r="F30" s="87">
        <v>-1.98</v>
      </c>
      <c r="G30" s="1">
        <f>SUM(Slovenia_Policies_Table[[#This Row],[Impact on Country]:[Impact on EU Relations]])</f>
        <v>-3</v>
      </c>
      <c r="H30" s="1">
        <v>0</v>
      </c>
      <c r="I30" s="1">
        <v>-1</v>
      </c>
      <c r="J30" s="1">
        <v>-1</v>
      </c>
      <c r="K30" s="1">
        <v>-1</v>
      </c>
      <c r="L30" s="75" cm="1">
        <f t="array" ref="L30">_xlfn.SWITCH(Slovenia_Policies_Table[[#This Row],[Impact]], "High", 1, "Medium", 0.66, "Low", 0.33)</f>
        <v>0.66</v>
      </c>
      <c r="M30" s="1" t="s">
        <v>490</v>
      </c>
      <c r="N30" s="1" t="s">
        <v>520</v>
      </c>
      <c r="O30" s="1" t="s">
        <v>390</v>
      </c>
      <c r="P30" s="3" t="s">
        <v>59</v>
      </c>
      <c r="Q30" s="1">
        <v>5</v>
      </c>
    </row>
    <row r="31" spans="1:17" ht="14.4" customHeight="1" x14ac:dyDescent="0.3">
      <c r="A31" s="10">
        <v>11</v>
      </c>
      <c r="B31" s="1" t="s">
        <v>7</v>
      </c>
      <c r="C31" s="2">
        <v>45309</v>
      </c>
      <c r="D31" s="1" t="s">
        <v>69</v>
      </c>
      <c r="E31" t="s">
        <v>121</v>
      </c>
      <c r="F31" s="87">
        <v>-0.66</v>
      </c>
      <c r="G31" s="1">
        <f>SUM(Slovenia_Policies_Table[[#This Row],[Impact on Country]:[Impact on EU Relations]])</f>
        <v>-1</v>
      </c>
      <c r="H31" s="1">
        <v>0</v>
      </c>
      <c r="I31" s="1">
        <v>-1</v>
      </c>
      <c r="J31" s="1">
        <v>0</v>
      </c>
      <c r="K31" s="1">
        <v>0</v>
      </c>
      <c r="L31" s="75" cm="1">
        <f t="array" ref="L31">_xlfn.SWITCH(Slovenia_Policies_Table[[#This Row],[Impact]], "High", 1, "Medium", 0.66, "Low", 0.33)</f>
        <v>0.66</v>
      </c>
      <c r="M31" s="1" t="s">
        <v>490</v>
      </c>
      <c r="N31" s="1" t="s">
        <v>521</v>
      </c>
      <c r="O31" s="1" t="s">
        <v>393</v>
      </c>
      <c r="P31" s="3" t="s">
        <v>70</v>
      </c>
      <c r="Q31" s="1">
        <v>7</v>
      </c>
    </row>
    <row r="32" spans="1:17" ht="14.4" customHeight="1" x14ac:dyDescent="0.3">
      <c r="A32" s="14">
        <v>11</v>
      </c>
      <c r="B32" s="4" t="s">
        <v>7</v>
      </c>
      <c r="C32" s="5">
        <v>45677</v>
      </c>
      <c r="D32" s="4" t="s">
        <v>54</v>
      </c>
      <c r="E32" s="4" t="s">
        <v>122</v>
      </c>
      <c r="F32" s="87">
        <v>2</v>
      </c>
      <c r="G32" s="1">
        <f>SUM(Slovenia_Policies_Table[[#This Row],[Impact on Country]:[Impact on EU Relations]])</f>
        <v>2</v>
      </c>
      <c r="H32" s="4">
        <v>1</v>
      </c>
      <c r="I32" s="4">
        <v>1</v>
      </c>
      <c r="J32" s="4">
        <v>-1</v>
      </c>
      <c r="K32" s="4">
        <v>1</v>
      </c>
      <c r="L32" s="75" cm="1">
        <f t="array" ref="L32">_xlfn.SWITCH(Slovenia_Policies_Table[[#This Row],[Impact]], "High", 1, "Medium", 0.66, "Low", 0.33)</f>
        <v>1</v>
      </c>
      <c r="M32" s="1" t="s">
        <v>489</v>
      </c>
      <c r="N32" s="1" t="s">
        <v>522</v>
      </c>
      <c r="O32" s="1" t="s">
        <v>396</v>
      </c>
      <c r="P32" s="3" t="s">
        <v>60</v>
      </c>
      <c r="Q32" s="1">
        <v>5</v>
      </c>
    </row>
    <row r="33" spans="1:17" ht="14.4" customHeight="1" x14ac:dyDescent="0.3">
      <c r="A33" s="15">
        <v>10</v>
      </c>
      <c r="B33" s="7" t="s">
        <v>6</v>
      </c>
      <c r="C33" s="8">
        <v>42187</v>
      </c>
      <c r="D33" s="9" t="s">
        <v>76</v>
      </c>
      <c r="E33" s="1" t="s">
        <v>123</v>
      </c>
      <c r="F33" s="1">
        <v>3</v>
      </c>
      <c r="G33" s="1">
        <v>3</v>
      </c>
      <c r="H33" s="7">
        <v>1</v>
      </c>
      <c r="I33" s="15">
        <v>0</v>
      </c>
      <c r="J33" s="7">
        <v>1</v>
      </c>
      <c r="K33" s="7">
        <v>1</v>
      </c>
      <c r="L33" s="61">
        <v>1</v>
      </c>
      <c r="M33" s="61" t="s">
        <v>489</v>
      </c>
      <c r="N33" s="61" t="s">
        <v>523</v>
      </c>
      <c r="O33" s="61" t="s">
        <v>452</v>
      </c>
      <c r="P33" s="16" t="s">
        <v>75</v>
      </c>
      <c r="Q33" s="82">
        <v>5</v>
      </c>
    </row>
    <row r="34" spans="1:17" ht="14.4" customHeight="1" x14ac:dyDescent="0.3">
      <c r="A34" s="15">
        <v>10</v>
      </c>
      <c r="B34" s="7" t="s">
        <v>6</v>
      </c>
      <c r="C34" s="8">
        <v>42201</v>
      </c>
      <c r="D34" s="9" t="s">
        <v>74</v>
      </c>
      <c r="E34" s="1" t="s">
        <v>122</v>
      </c>
      <c r="F34" s="1">
        <v>2.64</v>
      </c>
      <c r="G34" s="1">
        <v>4</v>
      </c>
      <c r="H34" s="7">
        <v>1</v>
      </c>
      <c r="I34" s="15">
        <v>1</v>
      </c>
      <c r="J34" s="7">
        <v>1</v>
      </c>
      <c r="K34" s="7">
        <v>1</v>
      </c>
      <c r="L34" s="61">
        <v>0.66</v>
      </c>
      <c r="M34" s="61" t="s">
        <v>490</v>
      </c>
      <c r="N34" s="61" t="s">
        <v>524</v>
      </c>
      <c r="O34" s="61" t="s">
        <v>397</v>
      </c>
      <c r="P34" s="16" t="s">
        <v>73</v>
      </c>
      <c r="Q34" s="82">
        <v>5</v>
      </c>
    </row>
    <row r="35" spans="1:17" ht="14.4" customHeight="1" x14ac:dyDescent="0.3">
      <c r="A35" s="15">
        <v>10</v>
      </c>
      <c r="B35" s="7" t="s">
        <v>6</v>
      </c>
      <c r="C35" s="8">
        <v>42248</v>
      </c>
      <c r="D35" s="9" t="s">
        <v>77</v>
      </c>
      <c r="E35" s="1" t="s">
        <v>121</v>
      </c>
      <c r="F35" s="1">
        <v>1</v>
      </c>
      <c r="G35" s="1">
        <v>1</v>
      </c>
      <c r="H35" s="7">
        <v>1</v>
      </c>
      <c r="I35" s="15">
        <v>0</v>
      </c>
      <c r="J35" s="7">
        <v>0</v>
      </c>
      <c r="K35" s="7">
        <v>0</v>
      </c>
      <c r="L35" s="61">
        <v>1</v>
      </c>
      <c r="M35" s="61" t="s">
        <v>489</v>
      </c>
      <c r="N35" s="61" t="s">
        <v>525</v>
      </c>
      <c r="O35" s="61" t="s">
        <v>452</v>
      </c>
      <c r="P35" s="16" t="s">
        <v>75</v>
      </c>
      <c r="Q35" s="82">
        <v>4</v>
      </c>
    </row>
    <row r="36" spans="1:17" ht="14.4" customHeight="1" x14ac:dyDescent="0.3">
      <c r="A36" s="15">
        <v>10</v>
      </c>
      <c r="B36" s="7" t="s">
        <v>6</v>
      </c>
      <c r="C36" s="8">
        <v>42265</v>
      </c>
      <c r="D36" s="9" t="s">
        <v>115</v>
      </c>
      <c r="E36" s="1" t="s">
        <v>120</v>
      </c>
      <c r="F36" s="1">
        <v>-3</v>
      </c>
      <c r="G36" s="1">
        <v>-3</v>
      </c>
      <c r="H36" s="7">
        <v>0</v>
      </c>
      <c r="I36" s="15">
        <v>-1</v>
      </c>
      <c r="J36" s="7">
        <v>-1</v>
      </c>
      <c r="K36" s="7">
        <v>-1</v>
      </c>
      <c r="L36" s="61">
        <v>1</v>
      </c>
      <c r="M36" s="61" t="s">
        <v>489</v>
      </c>
      <c r="N36" s="61" t="s">
        <v>526</v>
      </c>
      <c r="O36" s="61" t="s">
        <v>388</v>
      </c>
      <c r="P36" s="16" t="s">
        <v>114</v>
      </c>
      <c r="Q36" s="82">
        <v>9</v>
      </c>
    </row>
    <row r="37" spans="1:17" ht="14.4" customHeight="1" x14ac:dyDescent="0.3">
      <c r="A37" s="15">
        <v>10</v>
      </c>
      <c r="B37" s="7" t="s">
        <v>6</v>
      </c>
      <c r="C37" s="8">
        <v>42309</v>
      </c>
      <c r="D37" s="9" t="s">
        <v>80</v>
      </c>
      <c r="E37" s="1" t="s">
        <v>121</v>
      </c>
      <c r="F37" s="1">
        <v>2</v>
      </c>
      <c r="G37" s="1">
        <v>2</v>
      </c>
      <c r="H37" s="7">
        <v>1</v>
      </c>
      <c r="I37" s="15">
        <v>0</v>
      </c>
      <c r="J37" s="7">
        <v>1</v>
      </c>
      <c r="K37" s="7">
        <v>0</v>
      </c>
      <c r="L37" s="61">
        <v>1</v>
      </c>
      <c r="M37" s="61" t="s">
        <v>489</v>
      </c>
      <c r="N37" s="61" t="s">
        <v>527</v>
      </c>
      <c r="O37" s="61" t="s">
        <v>452</v>
      </c>
      <c r="P37" s="16" t="s">
        <v>75</v>
      </c>
      <c r="Q37" s="82">
        <v>3</v>
      </c>
    </row>
    <row r="38" spans="1:17" ht="14.4" customHeight="1" x14ac:dyDescent="0.3">
      <c r="A38" s="15">
        <v>10</v>
      </c>
      <c r="B38" s="7" t="s">
        <v>6</v>
      </c>
      <c r="C38" s="8">
        <v>42309</v>
      </c>
      <c r="D38" s="9" t="s">
        <v>81</v>
      </c>
      <c r="E38" s="1" t="s">
        <v>121</v>
      </c>
      <c r="F38" s="1">
        <v>0.66</v>
      </c>
      <c r="G38" s="1">
        <v>1</v>
      </c>
      <c r="H38" s="7">
        <v>1</v>
      </c>
      <c r="I38" s="15">
        <v>0</v>
      </c>
      <c r="J38" s="7">
        <v>0</v>
      </c>
      <c r="K38" s="7">
        <v>0</v>
      </c>
      <c r="L38" s="61">
        <v>0.66</v>
      </c>
      <c r="M38" s="61" t="s">
        <v>490</v>
      </c>
      <c r="N38" s="61" t="s">
        <v>528</v>
      </c>
      <c r="O38" s="61" t="s">
        <v>452</v>
      </c>
      <c r="P38" s="16" t="s">
        <v>75</v>
      </c>
      <c r="Q38" s="82">
        <v>3</v>
      </c>
    </row>
    <row r="39" spans="1:17" ht="14.4" customHeight="1" x14ac:dyDescent="0.3">
      <c r="A39" s="15">
        <v>10</v>
      </c>
      <c r="B39" s="7" t="s">
        <v>6</v>
      </c>
      <c r="C39" s="8">
        <v>42438</v>
      </c>
      <c r="D39" s="9" t="s">
        <v>91</v>
      </c>
      <c r="E39" s="1" t="s">
        <v>120</v>
      </c>
      <c r="F39" s="1">
        <v>-1</v>
      </c>
      <c r="G39" s="1">
        <v>-1</v>
      </c>
      <c r="H39" s="7">
        <v>1</v>
      </c>
      <c r="I39" s="15">
        <v>-1</v>
      </c>
      <c r="J39" s="7">
        <v>-1</v>
      </c>
      <c r="K39" s="7">
        <v>0</v>
      </c>
      <c r="L39" s="61">
        <v>1</v>
      </c>
      <c r="M39" s="61" t="s">
        <v>489</v>
      </c>
      <c r="N39" s="61" t="s">
        <v>529</v>
      </c>
      <c r="O39" s="61" t="s">
        <v>386</v>
      </c>
      <c r="P39" s="16" t="s">
        <v>82</v>
      </c>
      <c r="Q39" s="82">
        <v>7</v>
      </c>
    </row>
    <row r="40" spans="1:17" ht="14.4" customHeight="1" x14ac:dyDescent="0.3">
      <c r="A40" s="15">
        <v>10</v>
      </c>
      <c r="B40" s="7" t="s">
        <v>6</v>
      </c>
      <c r="C40" s="8">
        <v>42552</v>
      </c>
      <c r="D40" s="9" t="s">
        <v>92</v>
      </c>
      <c r="E40" s="1" t="s">
        <v>122</v>
      </c>
      <c r="F40" s="1">
        <v>1.32</v>
      </c>
      <c r="G40" s="1">
        <v>4</v>
      </c>
      <c r="H40" s="7">
        <v>1</v>
      </c>
      <c r="I40" s="15">
        <v>1</v>
      </c>
      <c r="J40" s="7">
        <v>1</v>
      </c>
      <c r="K40" s="7">
        <v>1</v>
      </c>
      <c r="L40" s="61">
        <v>0.33</v>
      </c>
      <c r="M40" s="61" t="s">
        <v>491</v>
      </c>
      <c r="N40" s="61" t="s">
        <v>530</v>
      </c>
      <c r="O40" s="61" t="s">
        <v>452</v>
      </c>
      <c r="P40" s="16" t="s">
        <v>79</v>
      </c>
      <c r="Q40" s="82">
        <v>3</v>
      </c>
    </row>
    <row r="41" spans="1:17" ht="14.4" customHeight="1" x14ac:dyDescent="0.3">
      <c r="A41" s="15">
        <v>10</v>
      </c>
      <c r="B41" s="7" t="s">
        <v>6</v>
      </c>
      <c r="C41" s="8">
        <v>43451</v>
      </c>
      <c r="D41" s="28" t="s">
        <v>93</v>
      </c>
      <c r="E41" s="1" t="s">
        <v>120</v>
      </c>
      <c r="F41" s="1">
        <v>-4</v>
      </c>
      <c r="G41" s="1">
        <v>-4</v>
      </c>
      <c r="H41" s="7">
        <v>-1</v>
      </c>
      <c r="I41" s="15">
        <v>-1</v>
      </c>
      <c r="J41" s="7">
        <v>-1</v>
      </c>
      <c r="K41" s="7">
        <v>-1</v>
      </c>
      <c r="L41" s="61">
        <v>1</v>
      </c>
      <c r="M41" s="61" t="s">
        <v>489</v>
      </c>
      <c r="N41" s="61" t="s">
        <v>531</v>
      </c>
      <c r="O41" s="61" t="s">
        <v>386</v>
      </c>
      <c r="P41" s="16" t="s">
        <v>83</v>
      </c>
      <c r="Q41" s="82">
        <v>4</v>
      </c>
    </row>
    <row r="42" spans="1:17" ht="14.4" customHeight="1" x14ac:dyDescent="0.3">
      <c r="A42" s="15">
        <v>10</v>
      </c>
      <c r="B42" s="7" t="s">
        <v>6</v>
      </c>
      <c r="C42" s="8">
        <v>43595</v>
      </c>
      <c r="D42" s="28" t="s">
        <v>94</v>
      </c>
      <c r="E42" s="1" t="s">
        <v>121</v>
      </c>
      <c r="F42" s="1">
        <v>-1.98</v>
      </c>
      <c r="G42" s="1">
        <v>-3</v>
      </c>
      <c r="H42" s="7">
        <v>-1</v>
      </c>
      <c r="I42" s="15">
        <v>0</v>
      </c>
      <c r="J42" s="7">
        <v>-1</v>
      </c>
      <c r="K42" s="7">
        <v>-1</v>
      </c>
      <c r="L42" s="61">
        <v>0.66</v>
      </c>
      <c r="M42" s="61" t="s">
        <v>490</v>
      </c>
      <c r="N42" s="61" t="s">
        <v>532</v>
      </c>
      <c r="O42" s="61" t="s">
        <v>397</v>
      </c>
      <c r="P42" s="16" t="s">
        <v>84</v>
      </c>
      <c r="Q42" s="82">
        <v>3</v>
      </c>
    </row>
    <row r="43" spans="1:17" ht="14.4" customHeight="1" x14ac:dyDescent="0.3">
      <c r="A43" s="15">
        <v>10</v>
      </c>
      <c r="B43" s="7" t="s">
        <v>6</v>
      </c>
      <c r="C43" s="8">
        <v>43891</v>
      </c>
      <c r="D43" s="9" t="s">
        <v>96</v>
      </c>
      <c r="E43" s="1" t="s">
        <v>121</v>
      </c>
      <c r="F43" s="1">
        <v>-0.66</v>
      </c>
      <c r="G43" s="1">
        <v>-1</v>
      </c>
      <c r="H43" s="7">
        <v>0</v>
      </c>
      <c r="I43" s="15">
        <v>0</v>
      </c>
      <c r="J43" s="7">
        <v>-1</v>
      </c>
      <c r="K43" s="7">
        <v>0</v>
      </c>
      <c r="L43" s="61">
        <v>0.66</v>
      </c>
      <c r="M43" s="61" t="s">
        <v>490</v>
      </c>
      <c r="N43" s="61" t="s">
        <v>533</v>
      </c>
      <c r="O43" s="61" t="s">
        <v>392</v>
      </c>
      <c r="P43" s="16" t="s">
        <v>85</v>
      </c>
      <c r="Q43" s="82">
        <v>4</v>
      </c>
    </row>
    <row r="44" spans="1:17" ht="14.4" customHeight="1" x14ac:dyDescent="0.3">
      <c r="A44" s="15">
        <v>10</v>
      </c>
      <c r="B44" s="7" t="s">
        <v>6</v>
      </c>
      <c r="C44" s="8">
        <v>43909</v>
      </c>
      <c r="D44" s="28" t="s">
        <v>95</v>
      </c>
      <c r="E44" s="1" t="s">
        <v>121</v>
      </c>
      <c r="F44" s="1">
        <v>-1</v>
      </c>
      <c r="G44" s="1">
        <v>-1</v>
      </c>
      <c r="H44" s="7">
        <v>0</v>
      </c>
      <c r="I44" s="15">
        <v>0</v>
      </c>
      <c r="J44" s="7">
        <v>-1</v>
      </c>
      <c r="K44" s="7">
        <v>0</v>
      </c>
      <c r="L44" s="61">
        <v>1</v>
      </c>
      <c r="M44" s="61" t="s">
        <v>489</v>
      </c>
      <c r="N44" s="61" t="s">
        <v>534</v>
      </c>
      <c r="O44" s="61" t="s">
        <v>392</v>
      </c>
      <c r="P44" s="16" t="s">
        <v>85</v>
      </c>
      <c r="Q44" s="82">
        <v>5</v>
      </c>
    </row>
    <row r="45" spans="1:17" ht="14.4" customHeight="1" x14ac:dyDescent="0.3">
      <c r="A45" s="15">
        <v>10</v>
      </c>
      <c r="B45" s="7" t="s">
        <v>6</v>
      </c>
      <c r="C45" s="8">
        <v>44562</v>
      </c>
      <c r="D45" s="9" t="s">
        <v>106</v>
      </c>
      <c r="E45" s="1" t="s">
        <v>121</v>
      </c>
      <c r="F45" s="1">
        <v>1.98</v>
      </c>
      <c r="G45" s="1">
        <v>3</v>
      </c>
      <c r="H45" s="7">
        <v>1</v>
      </c>
      <c r="I45" s="15">
        <v>0</v>
      </c>
      <c r="J45" s="7">
        <v>1</v>
      </c>
      <c r="K45" s="7">
        <v>1</v>
      </c>
      <c r="L45" s="61">
        <v>0.66</v>
      </c>
      <c r="M45" s="61" t="s">
        <v>490</v>
      </c>
      <c r="N45" s="61" t="s">
        <v>535</v>
      </c>
      <c r="O45" s="61" t="s">
        <v>392</v>
      </c>
      <c r="P45" s="16" t="s">
        <v>107</v>
      </c>
      <c r="Q45" s="82">
        <v>4</v>
      </c>
    </row>
    <row r="46" spans="1:17" ht="14.4" customHeight="1" x14ac:dyDescent="0.3">
      <c r="A46" s="15">
        <v>10</v>
      </c>
      <c r="B46" s="7" t="s">
        <v>6</v>
      </c>
      <c r="C46" s="8">
        <v>44655</v>
      </c>
      <c r="D46" s="9" t="s">
        <v>111</v>
      </c>
      <c r="E46" s="1" t="s">
        <v>123</v>
      </c>
      <c r="F46" s="1">
        <v>-1</v>
      </c>
      <c r="G46" s="1">
        <v>-1</v>
      </c>
      <c r="H46" s="7">
        <v>-1</v>
      </c>
      <c r="I46" s="15">
        <v>0</v>
      </c>
      <c r="J46" s="7">
        <v>1</v>
      </c>
      <c r="K46" s="7">
        <v>-1</v>
      </c>
      <c r="L46" s="61">
        <v>1</v>
      </c>
      <c r="M46" s="61" t="s">
        <v>489</v>
      </c>
      <c r="N46" s="61" t="s">
        <v>536</v>
      </c>
      <c r="O46" s="61" t="s">
        <v>398</v>
      </c>
      <c r="P46" s="16" t="s">
        <v>110</v>
      </c>
      <c r="Q46" s="82">
        <v>6</v>
      </c>
    </row>
    <row r="47" spans="1:17" ht="14.4" customHeight="1" x14ac:dyDescent="0.3">
      <c r="A47" s="15">
        <v>10</v>
      </c>
      <c r="B47" s="7" t="s">
        <v>6</v>
      </c>
      <c r="C47" s="8">
        <v>44816</v>
      </c>
      <c r="D47" s="9" t="s">
        <v>117</v>
      </c>
      <c r="E47" s="1" t="s">
        <v>123</v>
      </c>
      <c r="F47" s="1">
        <v>0</v>
      </c>
      <c r="G47" s="1">
        <v>0</v>
      </c>
      <c r="H47" s="7">
        <v>0</v>
      </c>
      <c r="I47" s="15">
        <v>0</v>
      </c>
      <c r="J47" s="7">
        <v>0</v>
      </c>
      <c r="K47" s="7">
        <v>0</v>
      </c>
      <c r="L47" s="61">
        <v>0.66</v>
      </c>
      <c r="M47" s="61" t="s">
        <v>490</v>
      </c>
      <c r="N47" s="61" t="s">
        <v>537</v>
      </c>
      <c r="O47" s="61" t="s">
        <v>399</v>
      </c>
      <c r="P47" s="16" t="s">
        <v>116</v>
      </c>
      <c r="Q47" s="82">
        <v>4</v>
      </c>
    </row>
    <row r="48" spans="1:17" ht="14.4" customHeight="1" x14ac:dyDescent="0.3">
      <c r="A48" s="15">
        <v>10</v>
      </c>
      <c r="B48" s="7" t="s">
        <v>6</v>
      </c>
      <c r="C48" s="8">
        <v>44927</v>
      </c>
      <c r="D48" s="28" t="s">
        <v>97</v>
      </c>
      <c r="E48" s="1" t="s">
        <v>122</v>
      </c>
      <c r="F48" s="1">
        <v>3</v>
      </c>
      <c r="G48" s="1">
        <v>3</v>
      </c>
      <c r="H48" s="7">
        <v>1</v>
      </c>
      <c r="I48" s="15">
        <v>1</v>
      </c>
      <c r="J48" s="7">
        <v>0</v>
      </c>
      <c r="K48" s="7">
        <v>1</v>
      </c>
      <c r="L48" s="61">
        <v>1</v>
      </c>
      <c r="M48" s="61" t="s">
        <v>489</v>
      </c>
      <c r="N48" s="61" t="s">
        <v>538</v>
      </c>
      <c r="O48" s="61" t="s">
        <v>400</v>
      </c>
      <c r="P48" s="16" t="s">
        <v>86</v>
      </c>
      <c r="Q48" s="82">
        <v>5</v>
      </c>
    </row>
    <row r="49" spans="1:17" ht="14.4" customHeight="1" x14ac:dyDescent="0.3">
      <c r="A49" s="15">
        <v>10</v>
      </c>
      <c r="B49" s="7" t="s">
        <v>6</v>
      </c>
      <c r="C49" s="8">
        <v>44986</v>
      </c>
      <c r="D49" s="9" t="s">
        <v>99</v>
      </c>
      <c r="E49" s="1" t="s">
        <v>122</v>
      </c>
      <c r="F49" s="1">
        <v>1.32</v>
      </c>
      <c r="G49" s="1">
        <v>4</v>
      </c>
      <c r="H49" s="7">
        <v>1</v>
      </c>
      <c r="I49" s="15">
        <v>1</v>
      </c>
      <c r="J49" s="7">
        <v>1</v>
      </c>
      <c r="K49" s="7">
        <v>1</v>
      </c>
      <c r="L49" s="61">
        <v>0.33</v>
      </c>
      <c r="M49" s="61" t="s">
        <v>491</v>
      </c>
      <c r="N49" s="61" t="s">
        <v>539</v>
      </c>
      <c r="O49" s="61" t="s">
        <v>401</v>
      </c>
      <c r="P49" s="16" t="s">
        <v>88</v>
      </c>
      <c r="Q49" s="82">
        <v>3</v>
      </c>
    </row>
    <row r="50" spans="1:17" ht="14.4" customHeight="1" x14ac:dyDescent="0.3">
      <c r="A50" s="15">
        <v>10</v>
      </c>
      <c r="B50" s="7" t="s">
        <v>6</v>
      </c>
      <c r="C50" s="8">
        <v>45002</v>
      </c>
      <c r="D50" s="28" t="s">
        <v>98</v>
      </c>
      <c r="E50" s="1" t="s">
        <v>123</v>
      </c>
      <c r="F50" s="1">
        <v>1.98</v>
      </c>
      <c r="G50" s="1">
        <v>3</v>
      </c>
      <c r="H50" s="7">
        <v>1</v>
      </c>
      <c r="I50" s="15">
        <v>0</v>
      </c>
      <c r="J50" s="7">
        <v>1</v>
      </c>
      <c r="K50" s="7">
        <v>1</v>
      </c>
      <c r="L50" s="61">
        <v>0.66</v>
      </c>
      <c r="M50" s="61" t="s">
        <v>490</v>
      </c>
      <c r="N50" s="61" t="s">
        <v>540</v>
      </c>
      <c r="O50" s="61" t="s">
        <v>452</v>
      </c>
      <c r="P50" s="16" t="s">
        <v>87</v>
      </c>
      <c r="Q50" s="82">
        <v>5</v>
      </c>
    </row>
    <row r="51" spans="1:17" ht="14.4" customHeight="1" x14ac:dyDescent="0.3">
      <c r="A51" s="15">
        <v>10</v>
      </c>
      <c r="B51" s="7" t="s">
        <v>6</v>
      </c>
      <c r="C51" s="8">
        <v>45033</v>
      </c>
      <c r="D51" s="9" t="s">
        <v>112</v>
      </c>
      <c r="E51" s="1" t="s">
        <v>123</v>
      </c>
      <c r="F51" s="1">
        <v>-3</v>
      </c>
      <c r="G51" s="1">
        <v>-3</v>
      </c>
      <c r="H51" s="7">
        <v>-1</v>
      </c>
      <c r="I51" s="15">
        <v>0</v>
      </c>
      <c r="J51" s="7">
        <v>-1</v>
      </c>
      <c r="K51" s="7">
        <v>-1</v>
      </c>
      <c r="L51" s="61">
        <v>1</v>
      </c>
      <c r="M51" s="61" t="s">
        <v>489</v>
      </c>
      <c r="N51" s="61" t="s">
        <v>541</v>
      </c>
      <c r="O51" s="61" t="s">
        <v>398</v>
      </c>
      <c r="P51" s="16" t="s">
        <v>113</v>
      </c>
      <c r="Q51" s="82">
        <v>4</v>
      </c>
    </row>
    <row r="52" spans="1:17" ht="14.4" customHeight="1" x14ac:dyDescent="0.3">
      <c r="A52" s="15">
        <v>10</v>
      </c>
      <c r="B52" s="7" t="s">
        <v>6</v>
      </c>
      <c r="C52" s="8">
        <v>45034</v>
      </c>
      <c r="D52" s="9" t="s">
        <v>108</v>
      </c>
      <c r="E52" s="1" t="s">
        <v>123</v>
      </c>
      <c r="F52" s="1">
        <v>0</v>
      </c>
      <c r="G52" s="1">
        <v>0</v>
      </c>
      <c r="H52" s="7">
        <v>0</v>
      </c>
      <c r="I52" s="15">
        <v>0</v>
      </c>
      <c r="J52" s="7">
        <v>0</v>
      </c>
      <c r="K52" s="7">
        <v>0</v>
      </c>
      <c r="L52" s="61">
        <v>0.33</v>
      </c>
      <c r="M52" s="61" t="s">
        <v>491</v>
      </c>
      <c r="N52" s="61" t="s">
        <v>542</v>
      </c>
      <c r="O52" s="61" t="s">
        <v>402</v>
      </c>
      <c r="P52" s="16" t="s">
        <v>109</v>
      </c>
      <c r="Q52" s="82">
        <v>3</v>
      </c>
    </row>
    <row r="53" spans="1:17" ht="14.4" customHeight="1" x14ac:dyDescent="0.3">
      <c r="A53" s="15">
        <v>10</v>
      </c>
      <c r="B53" s="7" t="s">
        <v>6</v>
      </c>
      <c r="C53" s="8">
        <v>45049</v>
      </c>
      <c r="D53" s="28" t="s">
        <v>119</v>
      </c>
      <c r="E53" s="1" t="s">
        <v>123</v>
      </c>
      <c r="F53" s="1">
        <v>1.98</v>
      </c>
      <c r="G53" s="1">
        <v>3</v>
      </c>
      <c r="H53" s="1">
        <v>1</v>
      </c>
      <c r="I53">
        <v>0</v>
      </c>
      <c r="J53">
        <v>1</v>
      </c>
      <c r="K53">
        <v>1</v>
      </c>
      <c r="L53" s="61">
        <v>0.66</v>
      </c>
      <c r="M53" t="s">
        <v>490</v>
      </c>
      <c r="N53" t="s">
        <v>543</v>
      </c>
      <c r="O53" s="61" t="s">
        <v>392</v>
      </c>
      <c r="P53" s="16" t="s">
        <v>118</v>
      </c>
      <c r="Q53" s="82">
        <v>4</v>
      </c>
    </row>
    <row r="54" spans="1:17" ht="14.4" customHeight="1" x14ac:dyDescent="0.3">
      <c r="A54" s="15">
        <v>10</v>
      </c>
      <c r="B54" s="7" t="s">
        <v>6</v>
      </c>
      <c r="C54" s="8">
        <v>45049</v>
      </c>
      <c r="D54" s="9" t="s">
        <v>100</v>
      </c>
      <c r="E54" s="1" t="s">
        <v>120</v>
      </c>
      <c r="F54" s="1">
        <v>-4</v>
      </c>
      <c r="G54" s="1">
        <v>-4</v>
      </c>
      <c r="H54" s="7">
        <v>-1</v>
      </c>
      <c r="I54" s="15">
        <v>-1</v>
      </c>
      <c r="J54" s="7">
        <v>-1</v>
      </c>
      <c r="K54" s="7">
        <v>-1</v>
      </c>
      <c r="L54" s="61">
        <v>1</v>
      </c>
      <c r="M54" s="61" t="s">
        <v>489</v>
      </c>
      <c r="N54" s="61" t="s">
        <v>544</v>
      </c>
      <c r="O54" s="61" t="s">
        <v>403</v>
      </c>
      <c r="P54" s="16" t="s">
        <v>89</v>
      </c>
      <c r="Q54" s="82">
        <v>4</v>
      </c>
    </row>
    <row r="55" spans="1:17" ht="14.4" customHeight="1" x14ac:dyDescent="0.3">
      <c r="A55" s="15">
        <v>10</v>
      </c>
      <c r="B55" s="7" t="s">
        <v>6</v>
      </c>
      <c r="C55" s="8">
        <v>45069</v>
      </c>
      <c r="D55" s="28" t="s">
        <v>101</v>
      </c>
      <c r="E55" s="1" t="s">
        <v>122</v>
      </c>
      <c r="F55" s="1">
        <v>-2</v>
      </c>
      <c r="G55" s="1">
        <v>-2</v>
      </c>
      <c r="H55" s="7">
        <v>0</v>
      </c>
      <c r="I55" s="15">
        <v>-1</v>
      </c>
      <c r="J55" s="7">
        <v>-1</v>
      </c>
      <c r="K55" s="7">
        <v>0</v>
      </c>
      <c r="L55" s="61">
        <v>1</v>
      </c>
      <c r="M55" s="61" t="s">
        <v>489</v>
      </c>
      <c r="N55" s="61" t="s">
        <v>545</v>
      </c>
      <c r="O55" s="61" t="s">
        <v>397</v>
      </c>
      <c r="P55" s="16" t="s">
        <v>90</v>
      </c>
      <c r="Q55" s="82">
        <v>3</v>
      </c>
    </row>
    <row r="56" spans="1:17" ht="14.4" customHeight="1" x14ac:dyDescent="0.3">
      <c r="A56" s="15">
        <v>10</v>
      </c>
      <c r="B56" s="7" t="s">
        <v>6</v>
      </c>
      <c r="C56" s="8">
        <v>45094</v>
      </c>
      <c r="D56" s="28" t="s">
        <v>125</v>
      </c>
      <c r="E56" s="1" t="s">
        <v>122</v>
      </c>
      <c r="F56" s="1">
        <v>0.66</v>
      </c>
      <c r="G56" s="1">
        <v>1</v>
      </c>
      <c r="H56" s="7">
        <v>1</v>
      </c>
      <c r="I56" s="15">
        <v>0</v>
      </c>
      <c r="J56" s="7">
        <v>-1</v>
      </c>
      <c r="K56" s="7">
        <v>1</v>
      </c>
      <c r="L56" s="61">
        <v>0.66</v>
      </c>
      <c r="M56" s="61" t="s">
        <v>490</v>
      </c>
      <c r="N56" s="61" t="s">
        <v>546</v>
      </c>
      <c r="O56" s="61" t="s">
        <v>401</v>
      </c>
      <c r="P56" s="16" t="s">
        <v>124</v>
      </c>
      <c r="Q56" s="82">
        <v>4</v>
      </c>
    </row>
    <row r="57" spans="1:17" ht="14.4" customHeight="1" x14ac:dyDescent="0.3">
      <c r="A57" s="15">
        <v>10</v>
      </c>
      <c r="B57" s="7" t="s">
        <v>6</v>
      </c>
      <c r="C57" s="2">
        <v>45536</v>
      </c>
      <c r="D57" s="28" t="s">
        <v>102</v>
      </c>
      <c r="E57" s="1" t="s">
        <v>121</v>
      </c>
      <c r="F57" s="1">
        <v>1.98</v>
      </c>
      <c r="G57" s="1">
        <v>3</v>
      </c>
      <c r="H57" s="7">
        <v>1</v>
      </c>
      <c r="I57" s="15">
        <v>0</v>
      </c>
      <c r="J57" s="7">
        <v>1</v>
      </c>
      <c r="K57" s="7">
        <v>1</v>
      </c>
      <c r="L57" s="61">
        <v>0.66</v>
      </c>
      <c r="M57" s="61" t="s">
        <v>490</v>
      </c>
      <c r="N57" s="61" t="s">
        <v>547</v>
      </c>
      <c r="O57" s="61" t="s">
        <v>397</v>
      </c>
      <c r="P57" s="17" t="s">
        <v>103</v>
      </c>
      <c r="Q57" s="82">
        <v>3</v>
      </c>
    </row>
    <row r="58" spans="1:17" ht="14.4" customHeight="1" x14ac:dyDescent="0.3">
      <c r="A58" s="21">
        <v>10</v>
      </c>
      <c r="B58" s="22" t="s">
        <v>6</v>
      </c>
      <c r="C58" s="23">
        <v>45575</v>
      </c>
      <c r="D58" s="24" t="s">
        <v>104</v>
      </c>
      <c r="E58" s="1" t="s">
        <v>120</v>
      </c>
      <c r="F58" s="1">
        <v>-4</v>
      </c>
      <c r="G58" s="1">
        <v>-4</v>
      </c>
      <c r="H58" s="7">
        <v>-1</v>
      </c>
      <c r="I58" s="21">
        <v>-1</v>
      </c>
      <c r="J58" s="22">
        <v>-1</v>
      </c>
      <c r="K58" s="22">
        <v>-1</v>
      </c>
      <c r="L58" s="61">
        <v>1</v>
      </c>
      <c r="M58" s="74" t="s">
        <v>489</v>
      </c>
      <c r="N58" s="74" t="s">
        <v>548</v>
      </c>
      <c r="O58" s="61" t="s">
        <v>386</v>
      </c>
      <c r="P58" s="25" t="s">
        <v>105</v>
      </c>
      <c r="Q58" s="82">
        <v>4</v>
      </c>
    </row>
    <row r="59" spans="1:17" ht="14.4" customHeight="1" x14ac:dyDescent="0.3">
      <c r="A59" s="21">
        <v>10</v>
      </c>
      <c r="B59" s="22" t="s">
        <v>6</v>
      </c>
      <c r="C59" s="23">
        <v>45992</v>
      </c>
      <c r="D59" s="22" t="s">
        <v>78</v>
      </c>
      <c r="E59" s="7" t="s">
        <v>122</v>
      </c>
      <c r="F59" s="1">
        <v>0.99</v>
      </c>
      <c r="G59" s="1">
        <v>3</v>
      </c>
      <c r="H59" s="7">
        <v>1</v>
      </c>
      <c r="I59" s="21">
        <v>1</v>
      </c>
      <c r="J59" s="22">
        <v>0</v>
      </c>
      <c r="K59" s="22">
        <v>1</v>
      </c>
      <c r="L59" s="61">
        <v>0.33</v>
      </c>
      <c r="M59" s="74" t="s">
        <v>491</v>
      </c>
      <c r="N59" s="74" t="s">
        <v>549</v>
      </c>
      <c r="O59" s="61" t="s">
        <v>452</v>
      </c>
      <c r="P59" s="25" t="s">
        <v>75</v>
      </c>
      <c r="Q59" s="82">
        <v>3</v>
      </c>
    </row>
    <row r="60" spans="1:17" ht="14.4" customHeight="1" x14ac:dyDescent="0.3">
      <c r="A60" s="38">
        <v>12</v>
      </c>
      <c r="B60" s="39" t="s">
        <v>127</v>
      </c>
      <c r="C60" s="40">
        <v>42156</v>
      </c>
      <c r="D60" s="39" t="s">
        <v>163</v>
      </c>
      <c r="E60" s="45" t="s">
        <v>122</v>
      </c>
      <c r="F60" s="1">
        <v>1.32</v>
      </c>
      <c r="G60" s="39">
        <v>2</v>
      </c>
      <c r="H60" s="39">
        <v>1</v>
      </c>
      <c r="I60" s="39">
        <v>0</v>
      </c>
      <c r="J60" s="39">
        <v>0</v>
      </c>
      <c r="K60" s="17">
        <v>1</v>
      </c>
      <c r="L60" s="1">
        <v>0.66</v>
      </c>
      <c r="M60" s="1" t="s">
        <v>490</v>
      </c>
      <c r="N60" s="1" t="s">
        <v>550</v>
      </c>
      <c r="O60" s="1" t="s">
        <v>412</v>
      </c>
      <c r="P60" s="1" t="s">
        <v>164</v>
      </c>
      <c r="Q60" s="1">
        <v>5</v>
      </c>
    </row>
    <row r="61" spans="1:17" ht="14.4" customHeight="1" x14ac:dyDescent="0.3">
      <c r="A61" s="35">
        <v>12</v>
      </c>
      <c r="B61" s="36" t="s">
        <v>127</v>
      </c>
      <c r="C61" s="37">
        <v>42318</v>
      </c>
      <c r="D61" s="36" t="s">
        <v>128</v>
      </c>
      <c r="E61" s="46" t="s">
        <v>123</v>
      </c>
      <c r="F61" s="1">
        <v>1.32</v>
      </c>
      <c r="G61" s="39">
        <v>2</v>
      </c>
      <c r="H61" s="39">
        <v>1</v>
      </c>
      <c r="I61" s="39">
        <v>0</v>
      </c>
      <c r="J61" s="39">
        <v>0</v>
      </c>
      <c r="K61" s="44">
        <v>1</v>
      </c>
      <c r="L61" s="1">
        <v>0.66</v>
      </c>
      <c r="M61" s="1" t="s">
        <v>490</v>
      </c>
      <c r="N61" s="1" t="s">
        <v>551</v>
      </c>
      <c r="O61" s="1" t="s">
        <v>406</v>
      </c>
      <c r="P61" s="1" t="s">
        <v>129</v>
      </c>
      <c r="Q61" s="1">
        <v>4</v>
      </c>
    </row>
    <row r="62" spans="1:17" ht="14.4" customHeight="1" x14ac:dyDescent="0.3">
      <c r="A62" s="38">
        <v>12</v>
      </c>
      <c r="B62" s="39" t="s">
        <v>127</v>
      </c>
      <c r="C62" s="40">
        <v>42419</v>
      </c>
      <c r="D62" s="39" t="s">
        <v>133</v>
      </c>
      <c r="E62" s="46" t="s">
        <v>123</v>
      </c>
      <c r="F62" s="1">
        <v>3</v>
      </c>
      <c r="G62" s="39">
        <v>3</v>
      </c>
      <c r="H62" s="39">
        <v>1</v>
      </c>
      <c r="I62" s="39">
        <v>0</v>
      </c>
      <c r="J62" s="39">
        <v>1</v>
      </c>
      <c r="K62" s="17">
        <v>1</v>
      </c>
      <c r="L62" s="1">
        <v>1</v>
      </c>
      <c r="M62" s="1" t="s">
        <v>489</v>
      </c>
      <c r="N62" s="1" t="s">
        <v>552</v>
      </c>
      <c r="O62" s="1" t="s">
        <v>408</v>
      </c>
      <c r="P62" s="1" t="s">
        <v>132</v>
      </c>
      <c r="Q62" s="1">
        <v>4</v>
      </c>
    </row>
    <row r="63" spans="1:17" ht="14.4" customHeight="1" x14ac:dyDescent="0.3">
      <c r="A63" s="38">
        <v>12</v>
      </c>
      <c r="B63" s="39" t="s">
        <v>127</v>
      </c>
      <c r="C63" s="40">
        <v>42437</v>
      </c>
      <c r="D63" s="39" t="s">
        <v>155</v>
      </c>
      <c r="E63" s="46" t="s">
        <v>120</v>
      </c>
      <c r="F63" s="1">
        <v>-2</v>
      </c>
      <c r="G63" s="39">
        <v>-2</v>
      </c>
      <c r="H63" s="39">
        <v>-1</v>
      </c>
      <c r="I63" s="39">
        <v>0</v>
      </c>
      <c r="J63" s="39">
        <v>-1</v>
      </c>
      <c r="K63" s="17">
        <v>0</v>
      </c>
      <c r="L63" s="1">
        <v>1</v>
      </c>
      <c r="M63" s="1" t="s">
        <v>489</v>
      </c>
      <c r="N63" s="1" t="s">
        <v>553</v>
      </c>
      <c r="O63" s="1" t="s">
        <v>407</v>
      </c>
      <c r="P63" s="1" t="s">
        <v>154</v>
      </c>
      <c r="Q63" s="1">
        <v>5</v>
      </c>
    </row>
    <row r="64" spans="1:17" ht="14.4" customHeight="1" x14ac:dyDescent="0.3">
      <c r="A64" s="38">
        <v>12</v>
      </c>
      <c r="B64" s="39" t="s">
        <v>127</v>
      </c>
      <c r="C64" s="40">
        <v>42459</v>
      </c>
      <c r="D64" s="39" t="s">
        <v>162</v>
      </c>
      <c r="E64" s="46" t="s">
        <v>123</v>
      </c>
      <c r="F64" s="1">
        <v>0.66</v>
      </c>
      <c r="G64" s="39">
        <v>2</v>
      </c>
      <c r="H64" s="39">
        <v>1</v>
      </c>
      <c r="I64" s="39">
        <v>0</v>
      </c>
      <c r="J64" s="39">
        <v>0</v>
      </c>
      <c r="K64" s="17">
        <v>1</v>
      </c>
      <c r="L64" s="1">
        <v>0.33</v>
      </c>
      <c r="M64" s="1" t="s">
        <v>491</v>
      </c>
      <c r="N64" s="1" t="s">
        <v>554</v>
      </c>
      <c r="O64" s="1" t="s">
        <v>438</v>
      </c>
      <c r="P64" s="1" t="s">
        <v>161</v>
      </c>
      <c r="Q64" s="1">
        <v>3</v>
      </c>
    </row>
    <row r="65" spans="1:17" ht="14.4" customHeight="1" x14ac:dyDescent="0.3">
      <c r="A65" s="38">
        <v>12</v>
      </c>
      <c r="B65" s="39" t="s">
        <v>127</v>
      </c>
      <c r="C65" s="40">
        <v>42534</v>
      </c>
      <c r="D65" s="39" t="s">
        <v>136</v>
      </c>
      <c r="E65" s="46" t="s">
        <v>123</v>
      </c>
      <c r="F65" s="1">
        <v>1.98</v>
      </c>
      <c r="G65" s="39">
        <v>3</v>
      </c>
      <c r="H65" s="39">
        <v>1</v>
      </c>
      <c r="I65" s="39">
        <v>0</v>
      </c>
      <c r="J65" s="39">
        <v>1</v>
      </c>
      <c r="K65" s="17">
        <v>1</v>
      </c>
      <c r="L65" s="1">
        <v>0.66</v>
      </c>
      <c r="M65" s="1" t="s">
        <v>490</v>
      </c>
      <c r="N65" s="1" t="s">
        <v>555</v>
      </c>
      <c r="O65" s="1" t="s">
        <v>439</v>
      </c>
      <c r="P65" s="1" t="s">
        <v>137</v>
      </c>
      <c r="Q65" s="1">
        <v>3</v>
      </c>
    </row>
    <row r="66" spans="1:17" ht="14.4" customHeight="1" x14ac:dyDescent="0.3">
      <c r="A66" s="38">
        <v>12</v>
      </c>
      <c r="B66" s="39" t="s">
        <v>127</v>
      </c>
      <c r="C66" s="40">
        <v>42566</v>
      </c>
      <c r="D66" s="39" t="s">
        <v>166</v>
      </c>
      <c r="E66" s="46" t="s">
        <v>123</v>
      </c>
      <c r="F66" s="1">
        <v>0.66</v>
      </c>
      <c r="G66" s="39">
        <v>2</v>
      </c>
      <c r="H66" s="39">
        <v>1</v>
      </c>
      <c r="I66" s="39">
        <v>0</v>
      </c>
      <c r="J66" s="39">
        <v>0</v>
      </c>
      <c r="K66" s="17">
        <v>1</v>
      </c>
      <c r="L66" s="1">
        <v>0.33</v>
      </c>
      <c r="M66" s="1" t="s">
        <v>491</v>
      </c>
      <c r="N66" s="1" t="s">
        <v>556</v>
      </c>
      <c r="O66" s="1" t="s">
        <v>412</v>
      </c>
      <c r="P66" s="1" t="s">
        <v>165</v>
      </c>
      <c r="Q66" s="1">
        <v>5</v>
      </c>
    </row>
    <row r="67" spans="1:17" ht="14.4" customHeight="1" x14ac:dyDescent="0.3">
      <c r="A67" s="38">
        <v>12</v>
      </c>
      <c r="B67" s="39" t="s">
        <v>127</v>
      </c>
      <c r="C67" s="40">
        <v>42629</v>
      </c>
      <c r="D67" s="39" t="s">
        <v>135</v>
      </c>
      <c r="E67" s="46" t="s">
        <v>123</v>
      </c>
      <c r="F67" s="1">
        <v>0.66</v>
      </c>
      <c r="G67" s="39">
        <v>2</v>
      </c>
      <c r="H67" s="39">
        <v>1</v>
      </c>
      <c r="I67" s="39">
        <v>0</v>
      </c>
      <c r="J67" s="39">
        <v>0</v>
      </c>
      <c r="K67" s="17">
        <v>1</v>
      </c>
      <c r="L67" s="1">
        <v>0.33</v>
      </c>
      <c r="M67" s="1" t="s">
        <v>491</v>
      </c>
      <c r="N67" s="1" t="s">
        <v>557</v>
      </c>
      <c r="O67" s="1" t="s">
        <v>408</v>
      </c>
      <c r="P67" s="1" t="s">
        <v>134</v>
      </c>
      <c r="Q67" s="1">
        <v>4</v>
      </c>
    </row>
    <row r="68" spans="1:17" ht="14.4" customHeight="1" x14ac:dyDescent="0.3">
      <c r="A68" s="38">
        <v>12</v>
      </c>
      <c r="B68" s="39" t="s">
        <v>127</v>
      </c>
      <c r="C68" s="40">
        <v>43009</v>
      </c>
      <c r="D68" s="39" t="s">
        <v>131</v>
      </c>
      <c r="E68" s="46" t="s">
        <v>123</v>
      </c>
      <c r="F68" s="1">
        <v>1.98</v>
      </c>
      <c r="G68" s="39">
        <v>3</v>
      </c>
      <c r="H68" s="39">
        <v>1</v>
      </c>
      <c r="I68" s="39">
        <v>0</v>
      </c>
      <c r="J68" s="39">
        <v>1</v>
      </c>
      <c r="K68" s="17">
        <v>1</v>
      </c>
      <c r="L68" s="1">
        <v>0.66</v>
      </c>
      <c r="M68" s="1" t="s">
        <v>490</v>
      </c>
      <c r="N68" s="1" t="s">
        <v>558</v>
      </c>
      <c r="O68" s="1" t="s">
        <v>409</v>
      </c>
      <c r="P68" s="1" t="s">
        <v>130</v>
      </c>
      <c r="Q68" s="1">
        <v>5</v>
      </c>
    </row>
    <row r="69" spans="1:17" ht="14.4" customHeight="1" x14ac:dyDescent="0.3">
      <c r="A69" s="38">
        <v>12</v>
      </c>
      <c r="B69" s="39" t="s">
        <v>127</v>
      </c>
      <c r="C69" s="40">
        <v>43160</v>
      </c>
      <c r="D69" s="39" t="s">
        <v>145</v>
      </c>
      <c r="E69" s="46" t="s">
        <v>121</v>
      </c>
      <c r="F69" s="1">
        <v>-4</v>
      </c>
      <c r="G69" s="39">
        <v>-4</v>
      </c>
      <c r="H69" s="39">
        <v>-1</v>
      </c>
      <c r="I69" s="39">
        <v>-1</v>
      </c>
      <c r="J69" s="39">
        <v>-1</v>
      </c>
      <c r="K69" s="17">
        <v>-1</v>
      </c>
      <c r="L69" s="1">
        <v>1</v>
      </c>
      <c r="M69" s="1" t="s">
        <v>489</v>
      </c>
      <c r="N69" s="1" t="s">
        <v>559</v>
      </c>
      <c r="O69" s="1" t="s">
        <v>410</v>
      </c>
      <c r="P69" s="1" t="s">
        <v>144</v>
      </c>
      <c r="Q69" s="1">
        <v>6</v>
      </c>
    </row>
    <row r="70" spans="1:17" ht="14.4" customHeight="1" x14ac:dyDescent="0.3">
      <c r="A70" s="38">
        <v>12</v>
      </c>
      <c r="B70" s="39" t="s">
        <v>127</v>
      </c>
      <c r="C70" s="40">
        <v>43270</v>
      </c>
      <c r="D70" s="39" t="s">
        <v>245</v>
      </c>
      <c r="E70" s="46" t="s">
        <v>120</v>
      </c>
      <c r="F70" s="1">
        <v>0</v>
      </c>
      <c r="G70" s="39">
        <v>0</v>
      </c>
      <c r="H70" s="39">
        <v>1</v>
      </c>
      <c r="I70" s="39">
        <v>0</v>
      </c>
      <c r="J70" s="39">
        <v>-1</v>
      </c>
      <c r="K70" s="17">
        <v>0</v>
      </c>
      <c r="L70" s="1">
        <v>0.66</v>
      </c>
      <c r="M70" s="1" t="s">
        <v>490</v>
      </c>
      <c r="N70" s="1" t="s">
        <v>560</v>
      </c>
      <c r="O70" s="1" t="s">
        <v>397</v>
      </c>
      <c r="P70" s="1" t="s">
        <v>156</v>
      </c>
      <c r="Q70" s="1">
        <v>4</v>
      </c>
    </row>
    <row r="71" spans="1:17" ht="14.4" customHeight="1" x14ac:dyDescent="0.3">
      <c r="A71" s="38">
        <v>12</v>
      </c>
      <c r="B71" s="39" t="s">
        <v>127</v>
      </c>
      <c r="C71" s="40">
        <v>44136</v>
      </c>
      <c r="D71" s="39" t="s">
        <v>168</v>
      </c>
      <c r="E71" s="46" t="s">
        <v>122</v>
      </c>
      <c r="F71" s="1">
        <v>0.66</v>
      </c>
      <c r="G71" s="39">
        <v>1</v>
      </c>
      <c r="H71" s="39">
        <v>1</v>
      </c>
      <c r="I71" s="39">
        <v>0</v>
      </c>
      <c r="J71" s="39">
        <v>-1</v>
      </c>
      <c r="K71" s="17">
        <v>1</v>
      </c>
      <c r="L71" s="1">
        <v>0.66</v>
      </c>
      <c r="M71" s="1" t="s">
        <v>490</v>
      </c>
      <c r="N71" s="1" t="s">
        <v>561</v>
      </c>
      <c r="O71" s="1" t="s">
        <v>412</v>
      </c>
      <c r="P71" s="1" t="s">
        <v>167</v>
      </c>
      <c r="Q71" s="1">
        <v>3</v>
      </c>
    </row>
    <row r="72" spans="1:17" ht="14.4" customHeight="1" x14ac:dyDescent="0.3">
      <c r="A72" s="38">
        <v>12</v>
      </c>
      <c r="B72" s="39" t="s">
        <v>127</v>
      </c>
      <c r="C72" s="40">
        <v>44188</v>
      </c>
      <c r="D72" s="39" t="s">
        <v>147</v>
      </c>
      <c r="E72" s="46" t="s">
        <v>121</v>
      </c>
      <c r="F72" s="1">
        <v>-3</v>
      </c>
      <c r="G72" s="39">
        <v>-3</v>
      </c>
      <c r="H72" s="39">
        <v>-1</v>
      </c>
      <c r="I72" s="39">
        <v>0</v>
      </c>
      <c r="J72" s="39">
        <v>-1</v>
      </c>
      <c r="K72" s="17">
        <v>-1</v>
      </c>
      <c r="L72" s="1">
        <v>1</v>
      </c>
      <c r="M72" s="1" t="s">
        <v>489</v>
      </c>
      <c r="N72" s="1" t="s">
        <v>562</v>
      </c>
      <c r="O72" s="1" t="s">
        <v>397</v>
      </c>
      <c r="P72" s="1" t="s">
        <v>146</v>
      </c>
      <c r="Q72" s="1">
        <v>8</v>
      </c>
    </row>
    <row r="73" spans="1:17" ht="14.4" customHeight="1" x14ac:dyDescent="0.3">
      <c r="A73" s="38">
        <v>12</v>
      </c>
      <c r="B73" s="39" t="s">
        <v>127</v>
      </c>
      <c r="C73" s="40">
        <v>44217</v>
      </c>
      <c r="D73" s="39" t="s">
        <v>151</v>
      </c>
      <c r="E73" s="46" t="s">
        <v>121</v>
      </c>
      <c r="F73" s="1">
        <v>-3</v>
      </c>
      <c r="G73" s="39">
        <v>-3</v>
      </c>
      <c r="H73" s="39">
        <v>-1</v>
      </c>
      <c r="I73" s="39">
        <v>0</v>
      </c>
      <c r="J73" s="39">
        <v>-1</v>
      </c>
      <c r="K73" s="17">
        <v>-1</v>
      </c>
      <c r="L73" s="1">
        <v>1</v>
      </c>
      <c r="M73" s="1" t="s">
        <v>489</v>
      </c>
      <c r="N73" s="1" t="s">
        <v>563</v>
      </c>
      <c r="O73" s="1" t="s">
        <v>403</v>
      </c>
      <c r="P73" s="1" t="s">
        <v>150</v>
      </c>
      <c r="Q73" s="1">
        <v>5</v>
      </c>
    </row>
    <row r="74" spans="1:17" ht="14.4" customHeight="1" x14ac:dyDescent="0.3">
      <c r="A74" s="38">
        <v>12</v>
      </c>
      <c r="B74" s="39" t="s">
        <v>127</v>
      </c>
      <c r="C74" s="40">
        <v>44519</v>
      </c>
      <c r="D74" s="39" t="s">
        <v>149</v>
      </c>
      <c r="E74" s="46" t="s">
        <v>122</v>
      </c>
      <c r="F74" s="1">
        <v>-0.66</v>
      </c>
      <c r="G74" s="39">
        <v>-1</v>
      </c>
      <c r="H74" s="39">
        <v>1</v>
      </c>
      <c r="I74" s="39">
        <v>0</v>
      </c>
      <c r="J74" s="39">
        <v>-1</v>
      </c>
      <c r="K74" s="17">
        <v>-1</v>
      </c>
      <c r="L74" s="1">
        <v>0.66</v>
      </c>
      <c r="M74" s="1" t="s">
        <v>490</v>
      </c>
      <c r="N74" s="1" t="s">
        <v>564</v>
      </c>
      <c r="O74" s="1" t="s">
        <v>404</v>
      </c>
      <c r="P74" s="1" t="s">
        <v>148</v>
      </c>
      <c r="Q74" s="1">
        <v>5</v>
      </c>
    </row>
    <row r="75" spans="1:17" ht="14.4" customHeight="1" x14ac:dyDescent="0.3">
      <c r="A75" s="38">
        <v>12</v>
      </c>
      <c r="B75" s="39" t="s">
        <v>127</v>
      </c>
      <c r="C75" s="40">
        <v>44531</v>
      </c>
      <c r="D75" s="39" t="s">
        <v>139</v>
      </c>
      <c r="E75" s="46" t="s">
        <v>123</v>
      </c>
      <c r="F75" s="1">
        <v>0</v>
      </c>
      <c r="G75" s="39">
        <v>0</v>
      </c>
      <c r="H75" s="39">
        <v>0</v>
      </c>
      <c r="I75" s="39">
        <v>0</v>
      </c>
      <c r="J75" s="39">
        <v>0</v>
      </c>
      <c r="K75" s="17">
        <v>0</v>
      </c>
      <c r="L75" s="1">
        <v>0.33</v>
      </c>
      <c r="M75" s="1" t="s">
        <v>491</v>
      </c>
      <c r="N75" s="1" t="s">
        <v>565</v>
      </c>
      <c r="O75" s="1" t="s">
        <v>408</v>
      </c>
      <c r="P75" s="1" t="s">
        <v>138</v>
      </c>
      <c r="Q75" s="1">
        <v>3</v>
      </c>
    </row>
    <row r="76" spans="1:17" ht="14.4" customHeight="1" x14ac:dyDescent="0.3">
      <c r="A76" s="38">
        <v>12</v>
      </c>
      <c r="B76" s="39" t="s">
        <v>127</v>
      </c>
      <c r="C76" s="40">
        <v>44531</v>
      </c>
      <c r="D76" s="39" t="s">
        <v>140</v>
      </c>
      <c r="E76" s="46" t="s">
        <v>123</v>
      </c>
      <c r="F76" s="1">
        <v>1.32</v>
      </c>
      <c r="G76" s="39">
        <v>2</v>
      </c>
      <c r="H76" s="39">
        <v>1</v>
      </c>
      <c r="I76" s="39">
        <v>0</v>
      </c>
      <c r="J76" s="39">
        <v>0</v>
      </c>
      <c r="K76" s="17">
        <v>1</v>
      </c>
      <c r="L76" s="1">
        <v>0.66</v>
      </c>
      <c r="M76" s="1" t="s">
        <v>490</v>
      </c>
      <c r="N76" s="1" t="s">
        <v>566</v>
      </c>
      <c r="O76" s="1" t="s">
        <v>439</v>
      </c>
      <c r="P76" s="1" t="s">
        <v>141</v>
      </c>
      <c r="Q76" s="1">
        <v>3</v>
      </c>
    </row>
    <row r="77" spans="1:17" ht="14.4" customHeight="1" x14ac:dyDescent="0.3">
      <c r="A77" s="38">
        <v>12</v>
      </c>
      <c r="B77" s="39" t="s">
        <v>127</v>
      </c>
      <c r="C77" s="40">
        <v>44904</v>
      </c>
      <c r="D77" t="s">
        <v>153</v>
      </c>
      <c r="E77" s="46" t="s">
        <v>123</v>
      </c>
      <c r="F77" s="1">
        <v>-2</v>
      </c>
      <c r="G77" s="39">
        <v>-2</v>
      </c>
      <c r="H77" s="39">
        <v>1</v>
      </c>
      <c r="I77" s="39">
        <v>-1</v>
      </c>
      <c r="J77" s="39">
        <v>-1</v>
      </c>
      <c r="K77" s="17">
        <v>-1</v>
      </c>
      <c r="L77" s="1">
        <v>1</v>
      </c>
      <c r="M77" s="1" t="s">
        <v>489</v>
      </c>
      <c r="N77" s="1" t="s">
        <v>567</v>
      </c>
      <c r="O77" s="1" t="s">
        <v>397</v>
      </c>
      <c r="P77" s="1" t="s">
        <v>152</v>
      </c>
      <c r="Q77" s="1">
        <v>4</v>
      </c>
    </row>
    <row r="78" spans="1:17" ht="14.4" customHeight="1" x14ac:dyDescent="0.3">
      <c r="A78" s="38">
        <v>12</v>
      </c>
      <c r="B78" s="39" t="s">
        <v>127</v>
      </c>
      <c r="C78" s="40">
        <v>45239</v>
      </c>
      <c r="D78" s="39" t="s">
        <v>142</v>
      </c>
      <c r="E78" s="46" t="s">
        <v>123</v>
      </c>
      <c r="F78" s="1">
        <v>0</v>
      </c>
      <c r="G78" s="39">
        <v>0</v>
      </c>
      <c r="H78" s="39">
        <v>1</v>
      </c>
      <c r="I78" s="39">
        <v>0</v>
      </c>
      <c r="J78" s="39">
        <v>-1</v>
      </c>
      <c r="K78" s="17">
        <v>0</v>
      </c>
      <c r="L78" s="1">
        <v>0.66</v>
      </c>
      <c r="M78" s="1" t="s">
        <v>490</v>
      </c>
      <c r="N78" s="1" t="s">
        <v>568</v>
      </c>
      <c r="O78" s="1" t="s">
        <v>411</v>
      </c>
      <c r="P78" s="1" t="s">
        <v>143</v>
      </c>
      <c r="Q78" s="1">
        <v>3</v>
      </c>
    </row>
    <row r="79" spans="1:17" ht="14.4" customHeight="1" x14ac:dyDescent="0.3">
      <c r="A79" s="38">
        <v>12</v>
      </c>
      <c r="B79" s="39" t="s">
        <v>127</v>
      </c>
      <c r="C79" s="40">
        <v>45261</v>
      </c>
      <c r="D79" s="39" t="s">
        <v>158</v>
      </c>
      <c r="E79" s="46" t="s">
        <v>122</v>
      </c>
      <c r="F79" s="1">
        <v>1.32</v>
      </c>
      <c r="G79" s="39">
        <v>2</v>
      </c>
      <c r="H79" s="39">
        <v>1</v>
      </c>
      <c r="I79" s="39">
        <v>1</v>
      </c>
      <c r="J79" s="39">
        <v>-1</v>
      </c>
      <c r="K79" s="17">
        <v>1</v>
      </c>
      <c r="L79" s="1">
        <v>0.66</v>
      </c>
      <c r="M79" s="1" t="s">
        <v>490</v>
      </c>
      <c r="N79" s="1" t="s">
        <v>569</v>
      </c>
      <c r="O79" s="1" t="s">
        <v>412</v>
      </c>
      <c r="P79" s="1" t="s">
        <v>157</v>
      </c>
      <c r="Q79" s="1">
        <v>4</v>
      </c>
    </row>
    <row r="80" spans="1:17" ht="14.4" customHeight="1" x14ac:dyDescent="0.3">
      <c r="A80" s="38">
        <v>12</v>
      </c>
      <c r="B80" s="39" t="s">
        <v>127</v>
      </c>
      <c r="C80" s="40">
        <v>45292</v>
      </c>
      <c r="D80" s="39" t="s">
        <v>160</v>
      </c>
      <c r="E80" s="46" t="s">
        <v>123</v>
      </c>
      <c r="F80" s="1">
        <v>1.32</v>
      </c>
      <c r="G80" s="39">
        <v>2</v>
      </c>
      <c r="H80" s="39">
        <v>1</v>
      </c>
      <c r="I80" s="39">
        <v>1</v>
      </c>
      <c r="J80" s="39">
        <v>-1</v>
      </c>
      <c r="K80" s="17">
        <v>1</v>
      </c>
      <c r="L80" s="1">
        <v>0.66</v>
      </c>
      <c r="M80" s="1" t="s">
        <v>490</v>
      </c>
      <c r="N80" s="1" t="s">
        <v>570</v>
      </c>
      <c r="O80" s="1" t="s">
        <v>412</v>
      </c>
      <c r="P80" s="1" t="s">
        <v>159</v>
      </c>
      <c r="Q80" s="1">
        <v>3</v>
      </c>
    </row>
    <row r="81" spans="1:17" ht="14.4" customHeight="1" x14ac:dyDescent="0.3">
      <c r="A81" s="38">
        <v>7</v>
      </c>
      <c r="B81" s="39" t="s">
        <v>0</v>
      </c>
      <c r="C81" s="40">
        <v>42248</v>
      </c>
      <c r="D81" s="39" t="s">
        <v>170</v>
      </c>
      <c r="E81" s="45" t="s">
        <v>121</v>
      </c>
      <c r="F81" s="1">
        <v>3</v>
      </c>
      <c r="G81" s="39">
        <v>3</v>
      </c>
      <c r="H81" s="39">
        <v>1</v>
      </c>
      <c r="I81" s="39">
        <v>0</v>
      </c>
      <c r="J81" s="39">
        <v>1</v>
      </c>
      <c r="K81" s="17">
        <v>1</v>
      </c>
      <c r="L81" s="1">
        <v>1</v>
      </c>
      <c r="M81" s="1" t="s">
        <v>489</v>
      </c>
      <c r="N81" s="1" t="s">
        <v>573</v>
      </c>
      <c r="O81" s="1" t="s">
        <v>404</v>
      </c>
      <c r="P81" s="1" t="s">
        <v>169</v>
      </c>
      <c r="Q81" s="1">
        <v>4</v>
      </c>
    </row>
    <row r="82" spans="1:17" ht="14.4" customHeight="1" x14ac:dyDescent="0.3">
      <c r="A82" s="38">
        <v>7</v>
      </c>
      <c r="B82" s="39" t="s">
        <v>0</v>
      </c>
      <c r="C82" s="40">
        <v>42262</v>
      </c>
      <c r="D82" s="39" t="s">
        <v>205</v>
      </c>
      <c r="E82" s="45" t="s">
        <v>120</v>
      </c>
      <c r="F82" s="1">
        <v>-4</v>
      </c>
      <c r="G82" s="39">
        <v>-4</v>
      </c>
      <c r="H82" s="39">
        <v>-1</v>
      </c>
      <c r="I82" s="39">
        <v>-1</v>
      </c>
      <c r="J82" s="39">
        <v>-1</v>
      </c>
      <c r="K82" s="17">
        <v>-1</v>
      </c>
      <c r="L82" s="1">
        <v>1</v>
      </c>
      <c r="M82" s="1" t="s">
        <v>489</v>
      </c>
      <c r="N82" s="1" t="s">
        <v>574</v>
      </c>
      <c r="O82" s="1" t="s">
        <v>386</v>
      </c>
      <c r="P82" s="1" t="s">
        <v>204</v>
      </c>
      <c r="Q82" s="1">
        <v>7</v>
      </c>
    </row>
    <row r="83" spans="1:17" ht="14.4" customHeight="1" x14ac:dyDescent="0.3">
      <c r="A83" s="38">
        <v>7</v>
      </c>
      <c r="B83" s="39" t="s">
        <v>0</v>
      </c>
      <c r="C83" s="40">
        <v>42265</v>
      </c>
      <c r="D83" s="39" t="s">
        <v>172</v>
      </c>
      <c r="E83" s="45" t="s">
        <v>122</v>
      </c>
      <c r="F83" s="1">
        <v>4</v>
      </c>
      <c r="G83" s="39">
        <v>4</v>
      </c>
      <c r="H83" s="39">
        <v>1</v>
      </c>
      <c r="I83" s="39">
        <v>1</v>
      </c>
      <c r="J83" s="39">
        <v>1</v>
      </c>
      <c r="K83" s="17">
        <v>1</v>
      </c>
      <c r="L83" s="1">
        <v>1</v>
      </c>
      <c r="M83" s="1" t="s">
        <v>489</v>
      </c>
      <c r="N83" s="1" t="s">
        <v>575</v>
      </c>
      <c r="O83" s="1" t="s">
        <v>419</v>
      </c>
      <c r="P83" s="1" t="s">
        <v>171</v>
      </c>
      <c r="Q83" s="1">
        <v>4</v>
      </c>
    </row>
    <row r="84" spans="1:17" ht="14.4" customHeight="1" x14ac:dyDescent="0.3">
      <c r="A84" s="38">
        <v>7</v>
      </c>
      <c r="B84" s="39" t="s">
        <v>0</v>
      </c>
      <c r="C84" s="40">
        <v>42272</v>
      </c>
      <c r="D84" s="39" t="s">
        <v>203</v>
      </c>
      <c r="E84" s="45" t="s">
        <v>121</v>
      </c>
      <c r="F84" s="1">
        <v>-1.98</v>
      </c>
      <c r="G84" s="39">
        <v>-3</v>
      </c>
      <c r="H84" s="39">
        <v>-1</v>
      </c>
      <c r="I84" s="39">
        <v>-1</v>
      </c>
      <c r="J84" s="39">
        <v>0</v>
      </c>
      <c r="K84" s="17">
        <v>-1</v>
      </c>
      <c r="L84" s="1">
        <v>0.66</v>
      </c>
      <c r="M84" s="1" t="s">
        <v>490</v>
      </c>
      <c r="N84" s="1" t="s">
        <v>576</v>
      </c>
      <c r="O84" s="1" t="s">
        <v>391</v>
      </c>
      <c r="P84" s="1" t="s">
        <v>202</v>
      </c>
      <c r="Q84" s="1">
        <v>6</v>
      </c>
    </row>
    <row r="85" spans="1:17" ht="14.4" customHeight="1" x14ac:dyDescent="0.3">
      <c r="A85" s="38">
        <v>7</v>
      </c>
      <c r="B85" s="39" t="s">
        <v>0</v>
      </c>
      <c r="C85" s="40">
        <v>42296</v>
      </c>
      <c r="D85" s="39" t="s">
        <v>207</v>
      </c>
      <c r="E85" s="45" t="s">
        <v>120</v>
      </c>
      <c r="F85" s="1">
        <v>-3</v>
      </c>
      <c r="G85" s="39">
        <v>-3</v>
      </c>
      <c r="H85" s="39">
        <v>-1</v>
      </c>
      <c r="I85" s="39">
        <v>-1</v>
      </c>
      <c r="J85" s="39">
        <v>-1</v>
      </c>
      <c r="K85" s="17">
        <v>0</v>
      </c>
      <c r="L85" s="1">
        <v>1</v>
      </c>
      <c r="M85" s="1" t="s">
        <v>489</v>
      </c>
      <c r="N85" s="1" t="s">
        <v>577</v>
      </c>
      <c r="O85" s="1" t="s">
        <v>386</v>
      </c>
      <c r="P85" s="1" t="s">
        <v>206</v>
      </c>
      <c r="Q85" s="1">
        <v>6</v>
      </c>
    </row>
    <row r="86" spans="1:17" ht="14.4" customHeight="1" x14ac:dyDescent="0.3">
      <c r="A86" s="38">
        <v>7</v>
      </c>
      <c r="B86" s="39" t="s">
        <v>0</v>
      </c>
      <c r="C86" s="40">
        <v>42311</v>
      </c>
      <c r="D86" s="39" t="s">
        <v>193</v>
      </c>
      <c r="E86" s="45" t="s">
        <v>122</v>
      </c>
      <c r="F86" s="1">
        <v>1.98</v>
      </c>
      <c r="G86" s="39">
        <v>3</v>
      </c>
      <c r="H86" s="39">
        <v>1</v>
      </c>
      <c r="I86" s="39">
        <v>1</v>
      </c>
      <c r="J86" s="39">
        <v>0</v>
      </c>
      <c r="K86" s="17">
        <v>1</v>
      </c>
      <c r="L86" s="1">
        <v>0.66</v>
      </c>
      <c r="M86" s="1" t="s">
        <v>490</v>
      </c>
      <c r="N86" s="1" t="s">
        <v>578</v>
      </c>
      <c r="O86" s="1" t="s">
        <v>463</v>
      </c>
      <c r="P86" s="1" t="s">
        <v>192</v>
      </c>
      <c r="Q86" s="1">
        <v>4</v>
      </c>
    </row>
    <row r="87" spans="1:17" ht="14.4" customHeight="1" x14ac:dyDescent="0.3">
      <c r="A87" s="38">
        <v>7</v>
      </c>
      <c r="B87" s="39" t="s">
        <v>0</v>
      </c>
      <c r="C87" s="40">
        <v>43101</v>
      </c>
      <c r="D87" s="39" t="s">
        <v>197</v>
      </c>
      <c r="E87" s="45" t="s">
        <v>120</v>
      </c>
      <c r="F87" s="1">
        <v>0.33</v>
      </c>
      <c r="G87" s="39">
        <v>1</v>
      </c>
      <c r="H87" s="39">
        <v>1</v>
      </c>
      <c r="I87" s="39">
        <v>0</v>
      </c>
      <c r="J87" s="39">
        <v>-1</v>
      </c>
      <c r="K87" s="17">
        <v>1</v>
      </c>
      <c r="L87" s="1">
        <v>0.33</v>
      </c>
      <c r="M87" s="1" t="s">
        <v>491</v>
      </c>
      <c r="N87" s="1" t="s">
        <v>579</v>
      </c>
      <c r="O87" s="1" t="s">
        <v>413</v>
      </c>
      <c r="P87" s="1" t="s">
        <v>196</v>
      </c>
      <c r="Q87" s="1">
        <v>6</v>
      </c>
    </row>
    <row r="88" spans="1:17" ht="14.4" customHeight="1" x14ac:dyDescent="0.3">
      <c r="A88" s="38">
        <v>7</v>
      </c>
      <c r="B88" s="39" t="s">
        <v>0</v>
      </c>
      <c r="C88" s="40">
        <v>43145</v>
      </c>
      <c r="D88" s="39" t="s">
        <v>195</v>
      </c>
      <c r="E88" s="45" t="s">
        <v>122</v>
      </c>
      <c r="F88" s="1">
        <v>1.98</v>
      </c>
      <c r="G88" s="39">
        <v>3</v>
      </c>
      <c r="H88" s="39">
        <v>1</v>
      </c>
      <c r="I88" s="39">
        <v>0</v>
      </c>
      <c r="J88" s="39">
        <v>1</v>
      </c>
      <c r="K88" s="17">
        <v>1</v>
      </c>
      <c r="L88" s="1">
        <v>0.66</v>
      </c>
      <c r="M88" s="1" t="s">
        <v>490</v>
      </c>
      <c r="N88" s="1" t="s">
        <v>580</v>
      </c>
      <c r="O88" s="1" t="s">
        <v>414</v>
      </c>
      <c r="P88" s="1" t="s">
        <v>194</v>
      </c>
      <c r="Q88" s="1">
        <v>3</v>
      </c>
    </row>
    <row r="89" spans="1:17" ht="14.4" customHeight="1" x14ac:dyDescent="0.3">
      <c r="A89" s="38">
        <v>7</v>
      </c>
      <c r="B89" s="39" t="s">
        <v>0</v>
      </c>
      <c r="C89" s="40">
        <v>43181</v>
      </c>
      <c r="D89" s="39" t="s">
        <v>173</v>
      </c>
      <c r="E89" s="45" t="s">
        <v>123</v>
      </c>
      <c r="F89" s="1">
        <v>3</v>
      </c>
      <c r="G89" s="39">
        <v>3</v>
      </c>
      <c r="H89" s="39">
        <v>1</v>
      </c>
      <c r="I89" s="39">
        <v>0</v>
      </c>
      <c r="J89" s="39">
        <v>1</v>
      </c>
      <c r="K89" s="17">
        <v>1</v>
      </c>
      <c r="L89" s="1">
        <v>1</v>
      </c>
      <c r="M89" s="1" t="s">
        <v>489</v>
      </c>
      <c r="N89" s="1" t="s">
        <v>581</v>
      </c>
      <c r="O89" s="1" t="s">
        <v>408</v>
      </c>
      <c r="P89" s="1" t="s">
        <v>174</v>
      </c>
      <c r="Q89" s="1">
        <v>3</v>
      </c>
    </row>
    <row r="90" spans="1:17" ht="14.4" customHeight="1" x14ac:dyDescent="0.3">
      <c r="A90" s="38">
        <v>7</v>
      </c>
      <c r="B90" s="39" t="s">
        <v>0</v>
      </c>
      <c r="C90" s="40">
        <v>43445</v>
      </c>
      <c r="D90" s="39" t="s">
        <v>176</v>
      </c>
      <c r="E90" s="45" t="s">
        <v>123</v>
      </c>
      <c r="F90" s="1">
        <v>1.98</v>
      </c>
      <c r="G90" s="39">
        <v>3</v>
      </c>
      <c r="H90" s="39">
        <v>1</v>
      </c>
      <c r="I90" s="39">
        <v>0</v>
      </c>
      <c r="J90" s="39">
        <v>1</v>
      </c>
      <c r="K90" s="17">
        <v>1</v>
      </c>
      <c r="L90" s="1">
        <v>0.66</v>
      </c>
      <c r="M90" s="1" t="s">
        <v>490</v>
      </c>
      <c r="N90" s="1" t="s">
        <v>582</v>
      </c>
      <c r="O90" s="1" t="s">
        <v>408</v>
      </c>
      <c r="P90" s="1" t="s">
        <v>175</v>
      </c>
      <c r="Q90" s="1">
        <v>3</v>
      </c>
    </row>
    <row r="91" spans="1:17" ht="14.4" customHeight="1" x14ac:dyDescent="0.3">
      <c r="A91" s="38">
        <v>7</v>
      </c>
      <c r="B91" s="39" t="s">
        <v>0</v>
      </c>
      <c r="C91" s="40">
        <v>43888</v>
      </c>
      <c r="D91" s="39" t="s">
        <v>178</v>
      </c>
      <c r="E91" s="45" t="s">
        <v>123</v>
      </c>
      <c r="F91" s="1">
        <v>0.66</v>
      </c>
      <c r="G91" s="39">
        <v>2</v>
      </c>
      <c r="H91" s="39">
        <v>1</v>
      </c>
      <c r="I91" s="39">
        <v>0</v>
      </c>
      <c r="J91" s="39">
        <v>0</v>
      </c>
      <c r="K91" s="17">
        <v>1</v>
      </c>
      <c r="L91" s="1">
        <v>0.33</v>
      </c>
      <c r="M91" s="1" t="s">
        <v>491</v>
      </c>
      <c r="N91" s="1" t="s">
        <v>583</v>
      </c>
      <c r="O91" s="1" t="s">
        <v>415</v>
      </c>
      <c r="P91" s="1" t="s">
        <v>177</v>
      </c>
      <c r="Q91" s="1">
        <v>4</v>
      </c>
    </row>
    <row r="92" spans="1:17" ht="14.4" customHeight="1" x14ac:dyDescent="0.3">
      <c r="A92" s="38">
        <v>7</v>
      </c>
      <c r="B92" s="39" t="s">
        <v>0</v>
      </c>
      <c r="C92" s="40">
        <v>43888</v>
      </c>
      <c r="D92" s="39" t="s">
        <v>246</v>
      </c>
      <c r="E92" s="45" t="s">
        <v>123</v>
      </c>
      <c r="F92" s="1">
        <v>0.66</v>
      </c>
      <c r="G92" s="39">
        <v>2</v>
      </c>
      <c r="H92" s="39">
        <v>1</v>
      </c>
      <c r="I92" s="39">
        <v>0</v>
      </c>
      <c r="J92" s="39">
        <v>0</v>
      </c>
      <c r="K92" s="17">
        <v>1</v>
      </c>
      <c r="L92" s="1">
        <v>0.33</v>
      </c>
      <c r="M92" s="1" t="s">
        <v>491</v>
      </c>
      <c r="N92" s="1" t="s">
        <v>584</v>
      </c>
      <c r="O92" s="1" t="s">
        <v>477</v>
      </c>
      <c r="P92" s="1" t="s">
        <v>183</v>
      </c>
      <c r="Q92" s="1">
        <v>3</v>
      </c>
    </row>
    <row r="93" spans="1:17" ht="14.4" customHeight="1" x14ac:dyDescent="0.3">
      <c r="A93" s="38">
        <v>7</v>
      </c>
      <c r="B93" s="39" t="s">
        <v>0</v>
      </c>
      <c r="C93" s="40">
        <v>43891</v>
      </c>
      <c r="D93" s="39" t="s">
        <v>180</v>
      </c>
      <c r="E93" s="45" t="s">
        <v>121</v>
      </c>
      <c r="F93" s="1">
        <v>-1.32</v>
      </c>
      <c r="G93" s="39">
        <v>-2</v>
      </c>
      <c r="H93" s="39">
        <v>0</v>
      </c>
      <c r="I93" s="39">
        <v>-1</v>
      </c>
      <c r="J93" s="39">
        <v>-1</v>
      </c>
      <c r="K93" s="17">
        <v>0</v>
      </c>
      <c r="L93" s="1">
        <v>0.66</v>
      </c>
      <c r="M93" s="1" t="s">
        <v>490</v>
      </c>
      <c r="N93" s="1" t="s">
        <v>585</v>
      </c>
      <c r="O93" s="1" t="s">
        <v>416</v>
      </c>
      <c r="P93" s="1" t="s">
        <v>179</v>
      </c>
      <c r="Q93" s="1">
        <v>6</v>
      </c>
    </row>
    <row r="94" spans="1:17" ht="14.4" customHeight="1" x14ac:dyDescent="0.3">
      <c r="A94" s="38">
        <v>7</v>
      </c>
      <c r="B94" s="39" t="s">
        <v>0</v>
      </c>
      <c r="C94" s="40">
        <v>43907</v>
      </c>
      <c r="D94" s="39" t="s">
        <v>182</v>
      </c>
      <c r="E94" s="45" t="s">
        <v>121</v>
      </c>
      <c r="F94" s="1">
        <v>-0.33</v>
      </c>
      <c r="G94" s="39">
        <v>-1</v>
      </c>
      <c r="H94" s="39">
        <v>0</v>
      </c>
      <c r="I94" s="39">
        <v>0</v>
      </c>
      <c r="J94" s="39">
        <v>-1</v>
      </c>
      <c r="K94" s="17">
        <v>0</v>
      </c>
      <c r="L94" s="1">
        <v>0.33</v>
      </c>
      <c r="M94" s="1" t="s">
        <v>491</v>
      </c>
      <c r="N94" s="1" t="s">
        <v>586</v>
      </c>
      <c r="O94" s="1" t="s">
        <v>397</v>
      </c>
      <c r="P94" s="1" t="s">
        <v>181</v>
      </c>
      <c r="Q94" s="1">
        <v>4</v>
      </c>
    </row>
    <row r="95" spans="1:17" ht="14.4" customHeight="1" x14ac:dyDescent="0.3">
      <c r="A95" s="38">
        <v>7</v>
      </c>
      <c r="B95" s="39" t="s">
        <v>0</v>
      </c>
      <c r="C95" s="40">
        <v>44985</v>
      </c>
      <c r="D95" s="39" t="s">
        <v>209</v>
      </c>
      <c r="E95" s="45" t="s">
        <v>123</v>
      </c>
      <c r="F95" s="1">
        <v>1.98</v>
      </c>
      <c r="G95" s="39">
        <v>3</v>
      </c>
      <c r="H95" s="39">
        <v>1</v>
      </c>
      <c r="I95" s="39">
        <v>0</v>
      </c>
      <c r="J95" s="39">
        <v>1</v>
      </c>
      <c r="K95" s="17">
        <v>1</v>
      </c>
      <c r="L95" s="1">
        <v>0.66</v>
      </c>
      <c r="M95" s="1" t="s">
        <v>490</v>
      </c>
      <c r="N95" s="1" t="s">
        <v>587</v>
      </c>
      <c r="O95" s="1" t="s">
        <v>401</v>
      </c>
      <c r="P95" s="1" t="s">
        <v>208</v>
      </c>
      <c r="Q95" s="1">
        <v>4</v>
      </c>
    </row>
    <row r="96" spans="1:17" ht="14.4" customHeight="1" x14ac:dyDescent="0.3">
      <c r="A96" s="38">
        <v>7</v>
      </c>
      <c r="B96" s="39" t="s">
        <v>0</v>
      </c>
      <c r="C96" s="40">
        <v>45001</v>
      </c>
      <c r="D96" s="39" t="s">
        <v>212</v>
      </c>
      <c r="E96" s="45" t="s">
        <v>122</v>
      </c>
      <c r="F96" s="1">
        <v>0.66</v>
      </c>
      <c r="G96" s="39">
        <v>2</v>
      </c>
      <c r="H96" s="39">
        <v>1</v>
      </c>
      <c r="I96" s="39">
        <v>0</v>
      </c>
      <c r="J96" s="39">
        <v>0</v>
      </c>
      <c r="K96" s="17">
        <v>1</v>
      </c>
      <c r="L96" s="1">
        <v>0.33</v>
      </c>
      <c r="M96" s="1" t="s">
        <v>491</v>
      </c>
      <c r="N96" s="1" t="s">
        <v>588</v>
      </c>
      <c r="O96" s="1" t="s">
        <v>412</v>
      </c>
      <c r="P96" s="1" t="s">
        <v>213</v>
      </c>
      <c r="Q96" s="1">
        <v>5</v>
      </c>
    </row>
    <row r="97" spans="1:17" ht="14.4" customHeight="1" x14ac:dyDescent="0.3">
      <c r="A97" s="38">
        <v>7</v>
      </c>
      <c r="B97" s="39" t="s">
        <v>0</v>
      </c>
      <c r="C97" s="40">
        <v>45227</v>
      </c>
      <c r="D97" s="39" t="s">
        <v>189</v>
      </c>
      <c r="E97" s="45" t="s">
        <v>121</v>
      </c>
      <c r="F97" s="1">
        <v>0</v>
      </c>
      <c r="G97" s="39">
        <v>0</v>
      </c>
      <c r="H97" s="39">
        <v>1</v>
      </c>
      <c r="I97" s="39">
        <v>0</v>
      </c>
      <c r="J97" s="39">
        <v>-1</v>
      </c>
      <c r="K97" s="17">
        <v>0</v>
      </c>
      <c r="L97" s="1">
        <v>0.33</v>
      </c>
      <c r="M97" s="1" t="s">
        <v>491</v>
      </c>
      <c r="N97" s="1" t="s">
        <v>589</v>
      </c>
      <c r="O97" s="1" t="s">
        <v>393</v>
      </c>
      <c r="P97" s="1" t="s">
        <v>188</v>
      </c>
      <c r="Q97" s="1">
        <v>7</v>
      </c>
    </row>
    <row r="98" spans="1:17" ht="14.4" customHeight="1" x14ac:dyDescent="0.3">
      <c r="A98" s="38">
        <v>7</v>
      </c>
      <c r="B98" s="39" t="s">
        <v>0</v>
      </c>
      <c r="C98" s="40">
        <v>45254</v>
      </c>
      <c r="D98" s="39" t="s">
        <v>201</v>
      </c>
      <c r="E98" s="45" t="s">
        <v>121</v>
      </c>
      <c r="F98" s="1">
        <v>-3</v>
      </c>
      <c r="G98" s="39">
        <v>-3</v>
      </c>
      <c r="H98" s="39">
        <v>-1</v>
      </c>
      <c r="I98" s="39">
        <v>0</v>
      </c>
      <c r="J98" s="39">
        <v>-1</v>
      </c>
      <c r="K98" s="17">
        <v>-1</v>
      </c>
      <c r="L98" s="1">
        <v>1</v>
      </c>
      <c r="M98" s="1" t="s">
        <v>489</v>
      </c>
      <c r="N98" s="1" t="s">
        <v>590</v>
      </c>
      <c r="O98" s="1" t="s">
        <v>392</v>
      </c>
      <c r="P98" s="1" t="s">
        <v>200</v>
      </c>
      <c r="Q98" s="1">
        <v>4</v>
      </c>
    </row>
    <row r="99" spans="1:17" ht="14.4" customHeight="1" x14ac:dyDescent="0.3">
      <c r="A99" s="38">
        <v>7</v>
      </c>
      <c r="B99" s="39" t="s">
        <v>0</v>
      </c>
      <c r="C99" s="40">
        <v>45320</v>
      </c>
      <c r="D99" s="39" t="s">
        <v>191</v>
      </c>
      <c r="E99" s="45" t="s">
        <v>123</v>
      </c>
      <c r="F99" s="1">
        <v>0.66</v>
      </c>
      <c r="G99" s="39">
        <v>2</v>
      </c>
      <c r="H99" s="39">
        <v>1</v>
      </c>
      <c r="I99" s="39">
        <v>0</v>
      </c>
      <c r="J99" s="39">
        <v>0</v>
      </c>
      <c r="K99" s="17">
        <v>1</v>
      </c>
      <c r="L99" s="1">
        <v>0.33</v>
      </c>
      <c r="M99" s="1" t="s">
        <v>491</v>
      </c>
      <c r="N99" s="1" t="s">
        <v>591</v>
      </c>
      <c r="O99" s="1" t="s">
        <v>417</v>
      </c>
      <c r="P99" s="1" t="s">
        <v>190</v>
      </c>
      <c r="Q99" s="1">
        <v>3</v>
      </c>
    </row>
    <row r="100" spans="1:17" ht="14.4" customHeight="1" x14ac:dyDescent="0.3">
      <c r="A100" s="38">
        <v>7</v>
      </c>
      <c r="B100" s="39" t="s">
        <v>0</v>
      </c>
      <c r="C100" s="40">
        <v>45344</v>
      </c>
      <c r="D100" s="39" t="s">
        <v>199</v>
      </c>
      <c r="E100" s="45" t="s">
        <v>121</v>
      </c>
      <c r="F100" s="1">
        <v>-4</v>
      </c>
      <c r="G100" s="39">
        <v>-4</v>
      </c>
      <c r="H100" s="39">
        <v>-1</v>
      </c>
      <c r="I100" s="39">
        <v>-1</v>
      </c>
      <c r="J100" s="39">
        <v>-1</v>
      </c>
      <c r="K100" s="17">
        <v>-1</v>
      </c>
      <c r="L100" s="1">
        <v>1</v>
      </c>
      <c r="M100" s="1" t="s">
        <v>489</v>
      </c>
      <c r="N100" s="1" t="s">
        <v>592</v>
      </c>
      <c r="O100" s="1" t="s">
        <v>386</v>
      </c>
      <c r="P100" s="1" t="s">
        <v>198</v>
      </c>
      <c r="Q100" s="1">
        <v>6</v>
      </c>
    </row>
    <row r="101" spans="1:17" ht="14.4" customHeight="1" x14ac:dyDescent="0.3">
      <c r="A101" s="38">
        <v>7</v>
      </c>
      <c r="B101" s="39" t="s">
        <v>0</v>
      </c>
      <c r="C101" s="40">
        <v>45352</v>
      </c>
      <c r="D101" s="39" t="s">
        <v>210</v>
      </c>
      <c r="E101" s="45" t="s">
        <v>123</v>
      </c>
      <c r="F101" s="1">
        <v>1.98</v>
      </c>
      <c r="G101" s="39">
        <v>3</v>
      </c>
      <c r="H101" s="39">
        <v>1</v>
      </c>
      <c r="I101" s="39">
        <v>0</v>
      </c>
      <c r="J101" s="39">
        <v>1</v>
      </c>
      <c r="K101" s="17">
        <v>1</v>
      </c>
      <c r="L101" s="1">
        <v>0.66</v>
      </c>
      <c r="M101" s="1" t="s">
        <v>490</v>
      </c>
      <c r="N101" s="1" t="s">
        <v>593</v>
      </c>
      <c r="O101" s="1" t="s">
        <v>401</v>
      </c>
      <c r="P101" s="1" t="s">
        <v>211</v>
      </c>
      <c r="Q101" s="1">
        <v>3</v>
      </c>
    </row>
    <row r="102" spans="1:17" ht="14.4" customHeight="1" x14ac:dyDescent="0.3">
      <c r="A102" s="38">
        <v>7</v>
      </c>
      <c r="B102" s="39" t="s">
        <v>0</v>
      </c>
      <c r="C102" s="40">
        <v>45468</v>
      </c>
      <c r="D102" s="39" t="s">
        <v>185</v>
      </c>
      <c r="E102" s="45" t="s">
        <v>122</v>
      </c>
      <c r="F102" s="1">
        <v>1.32</v>
      </c>
      <c r="G102" s="39">
        <v>2</v>
      </c>
      <c r="H102" s="39">
        <v>1</v>
      </c>
      <c r="I102" s="39">
        <v>1</v>
      </c>
      <c r="J102" s="39">
        <v>-1</v>
      </c>
      <c r="K102" s="17">
        <v>1</v>
      </c>
      <c r="L102" s="1">
        <v>0.66</v>
      </c>
      <c r="M102" s="1" t="s">
        <v>490</v>
      </c>
      <c r="N102" s="1" t="s">
        <v>594</v>
      </c>
      <c r="O102" s="1" t="s">
        <v>412</v>
      </c>
      <c r="P102" s="1" t="s">
        <v>184</v>
      </c>
      <c r="Q102" s="1">
        <v>4</v>
      </c>
    </row>
    <row r="103" spans="1:17" ht="14.4" customHeight="1" x14ac:dyDescent="0.3">
      <c r="A103" s="38">
        <v>7</v>
      </c>
      <c r="B103" s="39" t="s">
        <v>0</v>
      </c>
      <c r="C103" s="40">
        <v>45587</v>
      </c>
      <c r="D103" s="39" t="s">
        <v>187</v>
      </c>
      <c r="E103" s="45" t="s">
        <v>122</v>
      </c>
      <c r="F103" s="1">
        <v>0.66</v>
      </c>
      <c r="G103" s="39">
        <v>2</v>
      </c>
      <c r="H103" s="39">
        <v>0</v>
      </c>
      <c r="I103" s="39">
        <v>1</v>
      </c>
      <c r="J103" s="39">
        <v>0</v>
      </c>
      <c r="K103" s="17">
        <v>1</v>
      </c>
      <c r="L103" s="1">
        <v>0.33</v>
      </c>
      <c r="M103" s="1" t="s">
        <v>491</v>
      </c>
      <c r="N103" s="1" t="s">
        <v>595</v>
      </c>
      <c r="O103" s="1" t="s">
        <v>394</v>
      </c>
      <c r="P103" s="1" t="s">
        <v>186</v>
      </c>
      <c r="Q103" s="1">
        <v>6</v>
      </c>
    </row>
    <row r="104" spans="1:17" ht="14.4" customHeight="1" x14ac:dyDescent="0.3">
      <c r="A104" s="38">
        <v>7</v>
      </c>
      <c r="B104" s="39" t="s">
        <v>0</v>
      </c>
      <c r="C104" s="40">
        <v>45593</v>
      </c>
      <c r="D104" s="39" t="s">
        <v>215</v>
      </c>
      <c r="E104" s="45" t="s">
        <v>122</v>
      </c>
      <c r="F104" s="1">
        <v>0.66</v>
      </c>
      <c r="G104" s="39">
        <v>2</v>
      </c>
      <c r="H104" s="39">
        <v>1</v>
      </c>
      <c r="I104" s="39">
        <v>0</v>
      </c>
      <c r="J104" s="39">
        <v>0</v>
      </c>
      <c r="K104" s="17">
        <v>1</v>
      </c>
      <c r="L104" s="1">
        <v>0.33</v>
      </c>
      <c r="M104" s="1" t="s">
        <v>491</v>
      </c>
      <c r="N104" s="1" t="s">
        <v>596</v>
      </c>
      <c r="O104" s="1" t="s">
        <v>415</v>
      </c>
      <c r="P104" s="1" t="s">
        <v>214</v>
      </c>
      <c r="Q104" s="1">
        <v>4</v>
      </c>
    </row>
    <row r="105" spans="1:17" ht="14.4" customHeight="1" x14ac:dyDescent="0.3">
      <c r="A105" s="38">
        <v>7</v>
      </c>
      <c r="B105" s="39" t="s">
        <v>0</v>
      </c>
      <c r="C105" s="40">
        <v>45681</v>
      </c>
      <c r="D105" s="39" t="s">
        <v>216</v>
      </c>
      <c r="E105" s="45" t="s">
        <v>121</v>
      </c>
      <c r="F105" s="1">
        <v>-1.32</v>
      </c>
      <c r="G105" s="39">
        <v>-2</v>
      </c>
      <c r="H105" s="39">
        <v>-1</v>
      </c>
      <c r="I105" s="39">
        <v>0</v>
      </c>
      <c r="J105" s="39">
        <v>0</v>
      </c>
      <c r="K105" s="17">
        <v>-1</v>
      </c>
      <c r="L105" s="1">
        <v>0.66</v>
      </c>
      <c r="M105" s="1" t="s">
        <v>490</v>
      </c>
      <c r="N105" s="1" t="s">
        <v>597</v>
      </c>
      <c r="O105" s="1" t="s">
        <v>418</v>
      </c>
      <c r="P105" s="1" t="s">
        <v>217</v>
      </c>
      <c r="Q105" s="1">
        <v>9</v>
      </c>
    </row>
    <row r="106" spans="1:17" ht="14.4" customHeight="1" x14ac:dyDescent="0.3">
      <c r="A106" s="1">
        <v>13</v>
      </c>
      <c r="B106" s="1" t="s">
        <v>1</v>
      </c>
      <c r="C106" s="2">
        <v>42156</v>
      </c>
      <c r="D106" s="1" t="s">
        <v>220</v>
      </c>
      <c r="E106" s="1" t="s">
        <v>121</v>
      </c>
      <c r="F106" s="1">
        <v>2</v>
      </c>
      <c r="G106" s="1">
        <v>2</v>
      </c>
      <c r="H106" s="1">
        <v>0</v>
      </c>
      <c r="I106" s="1">
        <v>1</v>
      </c>
      <c r="J106" s="1">
        <v>1</v>
      </c>
      <c r="K106" s="3">
        <v>0</v>
      </c>
      <c r="L106" s="1">
        <v>1</v>
      </c>
      <c r="M106" s="1" t="s">
        <v>489</v>
      </c>
      <c r="N106" s="1" t="s">
        <v>598</v>
      </c>
      <c r="O106" s="1" t="s">
        <v>420</v>
      </c>
      <c r="P106" s="1" t="s">
        <v>219</v>
      </c>
      <c r="Q106" s="1">
        <v>3</v>
      </c>
    </row>
    <row r="107" spans="1:17" ht="14.4" customHeight="1" x14ac:dyDescent="0.3">
      <c r="A107" s="1">
        <v>13</v>
      </c>
      <c r="B107" s="1" t="s">
        <v>1</v>
      </c>
      <c r="C107" s="2">
        <v>42236</v>
      </c>
      <c r="D107" s="1" t="s">
        <v>218</v>
      </c>
      <c r="E107" s="1" t="s">
        <v>121</v>
      </c>
      <c r="F107" s="1">
        <v>-0.66</v>
      </c>
      <c r="G107" s="1">
        <v>-1</v>
      </c>
      <c r="H107" s="1">
        <v>1</v>
      </c>
      <c r="I107" s="1">
        <v>-1</v>
      </c>
      <c r="J107" s="1">
        <v>-1</v>
      </c>
      <c r="K107" s="3">
        <v>0</v>
      </c>
      <c r="L107" s="1">
        <v>0.66</v>
      </c>
      <c r="M107" s="1" t="s">
        <v>490</v>
      </c>
      <c r="N107" s="1" t="s">
        <v>599</v>
      </c>
      <c r="O107" s="1" t="s">
        <v>420</v>
      </c>
      <c r="P107" s="1" t="s">
        <v>219</v>
      </c>
      <c r="Q107" s="1">
        <v>7</v>
      </c>
    </row>
    <row r="108" spans="1:17" ht="14.4" customHeight="1" x14ac:dyDescent="0.3">
      <c r="A108" s="1">
        <v>13</v>
      </c>
      <c r="B108" s="1" t="s">
        <v>1</v>
      </c>
      <c r="C108" s="2">
        <v>42331</v>
      </c>
      <c r="D108" s="1" t="s">
        <v>224</v>
      </c>
      <c r="E108" s="1" t="s">
        <v>120</v>
      </c>
      <c r="F108" s="1">
        <v>-0.66</v>
      </c>
      <c r="G108" s="1">
        <v>-1</v>
      </c>
      <c r="H108" s="1">
        <v>1</v>
      </c>
      <c r="I108" s="1">
        <v>-1</v>
      </c>
      <c r="J108" s="1">
        <v>-1</v>
      </c>
      <c r="K108" s="3">
        <v>0</v>
      </c>
      <c r="L108" s="1">
        <v>0.66</v>
      </c>
      <c r="M108" s="1" t="s">
        <v>490</v>
      </c>
      <c r="N108" s="1" t="s">
        <v>600</v>
      </c>
      <c r="O108" s="1" t="s">
        <v>386</v>
      </c>
      <c r="P108" s="1" t="s">
        <v>223</v>
      </c>
      <c r="Q108" s="1">
        <v>5</v>
      </c>
    </row>
    <row r="109" spans="1:17" ht="14.4" customHeight="1" x14ac:dyDescent="0.3">
      <c r="A109" s="1">
        <v>13</v>
      </c>
      <c r="B109" s="1" t="s">
        <v>1</v>
      </c>
      <c r="C109" s="2">
        <v>42336</v>
      </c>
      <c r="D109" s="1" t="s">
        <v>222</v>
      </c>
      <c r="E109" s="1" t="s">
        <v>120</v>
      </c>
      <c r="F109" s="1">
        <v>-2</v>
      </c>
      <c r="G109" s="1">
        <v>-2</v>
      </c>
      <c r="H109" s="1">
        <v>1</v>
      </c>
      <c r="I109" s="1">
        <v>-1</v>
      </c>
      <c r="J109" s="1">
        <v>-1</v>
      </c>
      <c r="K109" s="3">
        <v>-1</v>
      </c>
      <c r="L109" s="1">
        <v>1</v>
      </c>
      <c r="M109" s="1" t="s">
        <v>489</v>
      </c>
      <c r="N109" s="1" t="s">
        <v>601</v>
      </c>
      <c r="O109" s="1" t="s">
        <v>394</v>
      </c>
      <c r="P109" s="1" t="s">
        <v>221</v>
      </c>
      <c r="Q109" s="1">
        <v>5</v>
      </c>
    </row>
    <row r="110" spans="1:17" ht="14.4" customHeight="1" x14ac:dyDescent="0.3">
      <c r="A110" s="1">
        <v>13</v>
      </c>
      <c r="B110" s="1" t="s">
        <v>1</v>
      </c>
      <c r="C110" s="2">
        <v>43201</v>
      </c>
      <c r="D110" s="1" t="s">
        <v>226</v>
      </c>
      <c r="E110" s="1" t="s">
        <v>123</v>
      </c>
      <c r="F110" s="1">
        <v>3</v>
      </c>
      <c r="G110" s="1">
        <v>3</v>
      </c>
      <c r="H110" s="1">
        <v>1</v>
      </c>
      <c r="I110" s="1">
        <v>0</v>
      </c>
      <c r="J110" s="1">
        <v>1</v>
      </c>
      <c r="K110" s="3">
        <v>1</v>
      </c>
      <c r="L110" s="1">
        <v>1</v>
      </c>
      <c r="M110" s="1" t="s">
        <v>489</v>
      </c>
      <c r="N110" s="1" t="s">
        <v>602</v>
      </c>
      <c r="O110" s="1" t="s">
        <v>408</v>
      </c>
      <c r="P110" s="1" t="s">
        <v>225</v>
      </c>
      <c r="Q110" s="1">
        <v>3</v>
      </c>
    </row>
    <row r="111" spans="1:17" ht="14.4" customHeight="1" x14ac:dyDescent="0.3">
      <c r="A111" s="1">
        <v>13</v>
      </c>
      <c r="B111" s="1" t="s">
        <v>1</v>
      </c>
      <c r="C111" s="2">
        <v>43907</v>
      </c>
      <c r="D111" s="1" t="s">
        <v>234</v>
      </c>
      <c r="E111" s="1" t="s">
        <v>121</v>
      </c>
      <c r="F111" s="1">
        <v>-1.32</v>
      </c>
      <c r="G111" s="1">
        <v>-2</v>
      </c>
      <c r="H111" s="1">
        <v>0</v>
      </c>
      <c r="I111" s="1">
        <v>-1</v>
      </c>
      <c r="J111" s="1">
        <v>-1</v>
      </c>
      <c r="K111" s="3">
        <v>0</v>
      </c>
      <c r="L111" s="1">
        <v>0.66</v>
      </c>
      <c r="M111" s="1" t="s">
        <v>490</v>
      </c>
      <c r="N111" s="1" t="s">
        <v>603</v>
      </c>
      <c r="O111" s="1" t="s">
        <v>421</v>
      </c>
      <c r="P111" s="1" t="s">
        <v>233</v>
      </c>
      <c r="Q111" s="1">
        <v>5</v>
      </c>
    </row>
    <row r="112" spans="1:17" ht="14.4" customHeight="1" x14ac:dyDescent="0.3">
      <c r="A112" s="1">
        <v>13</v>
      </c>
      <c r="B112" s="1" t="s">
        <v>1</v>
      </c>
      <c r="C112" s="2">
        <v>44562</v>
      </c>
      <c r="D112" s="1" t="s">
        <v>237</v>
      </c>
      <c r="E112" s="1" t="s">
        <v>122</v>
      </c>
      <c r="F112" s="1">
        <v>1.98</v>
      </c>
      <c r="G112" s="1">
        <v>3</v>
      </c>
      <c r="H112" s="1">
        <v>1</v>
      </c>
      <c r="I112" s="1">
        <v>0</v>
      </c>
      <c r="J112" s="1">
        <v>1</v>
      </c>
      <c r="K112" s="3">
        <v>1</v>
      </c>
      <c r="L112" s="1">
        <v>0.66</v>
      </c>
      <c r="M112" s="1" t="s">
        <v>490</v>
      </c>
      <c r="N112" s="1" t="s">
        <v>604</v>
      </c>
      <c r="O112" s="1" t="s">
        <v>404</v>
      </c>
      <c r="P112" s="1" t="s">
        <v>238</v>
      </c>
      <c r="Q112" s="1">
        <v>3</v>
      </c>
    </row>
    <row r="113" spans="1:17" ht="14.4" customHeight="1" x14ac:dyDescent="0.3">
      <c r="A113" s="1">
        <v>13</v>
      </c>
      <c r="B113" s="1" t="s">
        <v>1</v>
      </c>
      <c r="C113" s="2">
        <v>44593</v>
      </c>
      <c r="D113" s="1" t="s">
        <v>236</v>
      </c>
      <c r="E113" s="1" t="s">
        <v>122</v>
      </c>
      <c r="F113" s="1">
        <v>1.98</v>
      </c>
      <c r="G113" s="1">
        <v>3</v>
      </c>
      <c r="H113" s="1">
        <v>1</v>
      </c>
      <c r="I113" s="1">
        <v>0</v>
      </c>
      <c r="J113" s="1">
        <v>1</v>
      </c>
      <c r="K113" s="3">
        <v>1</v>
      </c>
      <c r="L113" s="1">
        <v>0.66</v>
      </c>
      <c r="M113" s="1" t="s">
        <v>490</v>
      </c>
      <c r="N113" s="1" t="s">
        <v>605</v>
      </c>
      <c r="O113" s="1" t="s">
        <v>422</v>
      </c>
      <c r="P113" s="1" t="s">
        <v>235</v>
      </c>
      <c r="Q113" s="1">
        <v>3</v>
      </c>
    </row>
    <row r="114" spans="1:17" ht="14.4" customHeight="1" x14ac:dyDescent="0.3">
      <c r="A114" s="1">
        <v>13</v>
      </c>
      <c r="B114" s="1" t="s">
        <v>1</v>
      </c>
      <c r="C114" s="2">
        <v>44622</v>
      </c>
      <c r="D114" s="1" t="s">
        <v>227</v>
      </c>
      <c r="E114" s="1" t="s">
        <v>123</v>
      </c>
      <c r="F114" s="1">
        <v>0.66</v>
      </c>
      <c r="G114" s="1">
        <v>2</v>
      </c>
      <c r="H114" s="1">
        <v>1</v>
      </c>
      <c r="I114" s="1">
        <v>0</v>
      </c>
      <c r="J114" s="1">
        <v>0</v>
      </c>
      <c r="K114" s="3">
        <v>1</v>
      </c>
      <c r="L114" s="1">
        <v>0.33</v>
      </c>
      <c r="M114" s="1" t="s">
        <v>491</v>
      </c>
      <c r="N114" s="1" t="s">
        <v>606</v>
      </c>
      <c r="O114" s="1" t="s">
        <v>423</v>
      </c>
      <c r="P114" s="1" t="s">
        <v>228</v>
      </c>
      <c r="Q114" s="1">
        <v>3</v>
      </c>
    </row>
    <row r="115" spans="1:17" ht="14.4" customHeight="1" x14ac:dyDescent="0.3">
      <c r="A115" s="1">
        <v>13</v>
      </c>
      <c r="B115" s="1" t="s">
        <v>1</v>
      </c>
      <c r="C115" s="2">
        <v>44847</v>
      </c>
      <c r="D115" s="1" t="s">
        <v>230</v>
      </c>
      <c r="E115" s="1" t="s">
        <v>122</v>
      </c>
      <c r="F115" s="1">
        <v>1.32</v>
      </c>
      <c r="G115" s="1">
        <v>2</v>
      </c>
      <c r="H115" s="1">
        <v>1</v>
      </c>
      <c r="I115" s="1">
        <v>1</v>
      </c>
      <c r="J115" s="1">
        <v>-1</v>
      </c>
      <c r="K115" s="3">
        <v>1</v>
      </c>
      <c r="L115" s="1">
        <v>0.66</v>
      </c>
      <c r="M115" s="1" t="s">
        <v>490</v>
      </c>
      <c r="N115" s="1" t="s">
        <v>607</v>
      </c>
      <c r="O115" s="1" t="s">
        <v>400</v>
      </c>
      <c r="P115" s="1" t="s">
        <v>229</v>
      </c>
      <c r="Q115" s="1">
        <v>5</v>
      </c>
    </row>
    <row r="116" spans="1:17" ht="14.4" customHeight="1" x14ac:dyDescent="0.3">
      <c r="A116" s="1">
        <v>13</v>
      </c>
      <c r="B116" s="1" t="s">
        <v>1</v>
      </c>
      <c r="C116" s="2">
        <v>45170</v>
      </c>
      <c r="D116" s="1" t="s">
        <v>232</v>
      </c>
      <c r="E116" s="1" t="s">
        <v>123</v>
      </c>
      <c r="F116" s="1">
        <v>1.98</v>
      </c>
      <c r="G116" s="1">
        <v>3</v>
      </c>
      <c r="H116" s="1">
        <v>1</v>
      </c>
      <c r="I116" s="1">
        <v>0</v>
      </c>
      <c r="J116" s="1">
        <v>1</v>
      </c>
      <c r="K116" s="3">
        <v>1</v>
      </c>
      <c r="L116" s="1">
        <v>0.66</v>
      </c>
      <c r="M116" s="1" t="s">
        <v>490</v>
      </c>
      <c r="N116" s="1" t="s">
        <v>608</v>
      </c>
      <c r="O116" s="1" t="s">
        <v>424</v>
      </c>
      <c r="P116" s="1" t="s">
        <v>231</v>
      </c>
      <c r="Q116" s="1">
        <v>4</v>
      </c>
    </row>
    <row r="117" spans="1:17" ht="14.4" customHeight="1" x14ac:dyDescent="0.3">
      <c r="A117" s="10">
        <v>8</v>
      </c>
      <c r="B117" s="1" t="s">
        <v>2</v>
      </c>
      <c r="C117" s="2">
        <v>42309</v>
      </c>
      <c r="D117" s="1" t="s">
        <v>273</v>
      </c>
      <c r="E117" s="1" t="s">
        <v>123</v>
      </c>
      <c r="F117" s="1">
        <v>0.66</v>
      </c>
      <c r="G117" s="1">
        <v>2</v>
      </c>
      <c r="H117" s="1">
        <v>1</v>
      </c>
      <c r="I117" s="1">
        <v>0</v>
      </c>
      <c r="J117" s="1">
        <v>0</v>
      </c>
      <c r="K117" s="11">
        <v>1</v>
      </c>
      <c r="L117" s="1">
        <v>0.33</v>
      </c>
      <c r="M117" s="1" t="s">
        <v>491</v>
      </c>
      <c r="N117" s="1" t="s">
        <v>622</v>
      </c>
      <c r="O117" s="1" t="s">
        <v>434</v>
      </c>
      <c r="P117" s="1" t="s">
        <v>274</v>
      </c>
      <c r="Q117" s="1">
        <v>4</v>
      </c>
    </row>
    <row r="118" spans="1:17" ht="14.4" customHeight="1" x14ac:dyDescent="0.3">
      <c r="A118" s="10">
        <v>8</v>
      </c>
      <c r="B118" s="1" t="s">
        <v>2</v>
      </c>
      <c r="C118" s="2">
        <v>42733</v>
      </c>
      <c r="D118" s="1" t="s">
        <v>282</v>
      </c>
      <c r="E118" s="1" t="s">
        <v>123</v>
      </c>
      <c r="F118" s="1">
        <v>1.98</v>
      </c>
      <c r="G118" s="1">
        <v>3</v>
      </c>
      <c r="H118" s="1">
        <v>1</v>
      </c>
      <c r="I118" s="1">
        <v>0</v>
      </c>
      <c r="J118" s="1">
        <v>1</v>
      </c>
      <c r="K118" s="11">
        <v>1</v>
      </c>
      <c r="L118" s="1">
        <v>0.66</v>
      </c>
      <c r="M118" s="1" t="s">
        <v>490</v>
      </c>
      <c r="N118" s="1" t="s">
        <v>623</v>
      </c>
      <c r="O118" s="1" t="s">
        <v>408</v>
      </c>
      <c r="P118" s="1" t="s">
        <v>281</v>
      </c>
      <c r="Q118" s="1">
        <v>3</v>
      </c>
    </row>
    <row r="119" spans="1:17" ht="14.4" customHeight="1" x14ac:dyDescent="0.3">
      <c r="A119" s="14">
        <v>8</v>
      </c>
      <c r="B119" s="1" t="s">
        <v>2</v>
      </c>
      <c r="C119" s="5">
        <v>43150</v>
      </c>
      <c r="D119" s="4" t="s">
        <v>275</v>
      </c>
      <c r="E119" s="4" t="s">
        <v>123</v>
      </c>
      <c r="F119" s="1">
        <v>0.66</v>
      </c>
      <c r="G119" s="4">
        <v>2</v>
      </c>
      <c r="H119" s="4">
        <v>1</v>
      </c>
      <c r="I119" s="4">
        <v>0</v>
      </c>
      <c r="J119" s="4">
        <v>0</v>
      </c>
      <c r="K119" s="50">
        <v>1</v>
      </c>
      <c r="L119" s="1">
        <v>0.33</v>
      </c>
      <c r="M119" s="1" t="s">
        <v>491</v>
      </c>
      <c r="N119" s="1" t="s">
        <v>624</v>
      </c>
      <c r="O119" s="1" t="s">
        <v>432</v>
      </c>
      <c r="P119" s="1" t="s">
        <v>276</v>
      </c>
      <c r="Q119" s="1">
        <v>3</v>
      </c>
    </row>
    <row r="120" spans="1:17" ht="14.4" customHeight="1" x14ac:dyDescent="0.3">
      <c r="A120" s="10">
        <v>8</v>
      </c>
      <c r="B120" s="1" t="s">
        <v>2</v>
      </c>
      <c r="C120" s="2">
        <v>44470</v>
      </c>
      <c r="D120" s="1" t="s">
        <v>280</v>
      </c>
      <c r="E120" s="1" t="s">
        <v>123</v>
      </c>
      <c r="F120" s="1">
        <v>0.66</v>
      </c>
      <c r="G120" s="1">
        <v>2</v>
      </c>
      <c r="H120" s="1">
        <v>1</v>
      </c>
      <c r="I120" s="1">
        <v>0</v>
      </c>
      <c r="J120" s="1">
        <v>0</v>
      </c>
      <c r="K120" s="11">
        <v>1</v>
      </c>
      <c r="L120" s="1">
        <v>0.33</v>
      </c>
      <c r="M120" s="1" t="s">
        <v>491</v>
      </c>
      <c r="N120" s="1" t="s">
        <v>625</v>
      </c>
      <c r="O120" s="1" t="s">
        <v>433</v>
      </c>
      <c r="P120" s="1" t="s">
        <v>279</v>
      </c>
      <c r="Q120" s="1">
        <v>4</v>
      </c>
    </row>
    <row r="121" spans="1:17" ht="14.4" customHeight="1" x14ac:dyDescent="0.3">
      <c r="A121" s="14">
        <v>8</v>
      </c>
      <c r="B121" s="4" t="s">
        <v>2</v>
      </c>
      <c r="C121" s="5">
        <v>45062</v>
      </c>
      <c r="D121" s="4" t="s">
        <v>277</v>
      </c>
      <c r="E121" s="4" t="s">
        <v>122</v>
      </c>
      <c r="F121" s="1">
        <v>1.32</v>
      </c>
      <c r="G121" s="4">
        <v>2</v>
      </c>
      <c r="H121" s="4">
        <v>1</v>
      </c>
      <c r="I121" s="4">
        <v>1</v>
      </c>
      <c r="J121" s="4">
        <v>-1</v>
      </c>
      <c r="K121" s="50">
        <v>1</v>
      </c>
      <c r="L121" s="1">
        <v>0.66</v>
      </c>
      <c r="M121" s="1" t="s">
        <v>490</v>
      </c>
      <c r="N121" s="1" t="s">
        <v>626</v>
      </c>
      <c r="O121" s="1" t="s">
        <v>412</v>
      </c>
      <c r="P121" s="1" t="s">
        <v>278</v>
      </c>
      <c r="Q121" s="1">
        <v>4</v>
      </c>
    </row>
    <row r="122" spans="1:17" ht="14.4" customHeight="1" x14ac:dyDescent="0.3">
      <c r="A122" s="10">
        <v>5</v>
      </c>
      <c r="B122" s="1" t="s">
        <v>4</v>
      </c>
      <c r="C122" s="2">
        <v>42525</v>
      </c>
      <c r="D122" s="1" t="s">
        <v>294</v>
      </c>
      <c r="E122" s="1" t="s">
        <v>123</v>
      </c>
      <c r="F122" s="1">
        <v>0</v>
      </c>
      <c r="G122" s="1">
        <v>0</v>
      </c>
      <c r="H122" s="1">
        <v>1</v>
      </c>
      <c r="I122" s="1">
        <v>0</v>
      </c>
      <c r="J122" s="1">
        <v>-1</v>
      </c>
      <c r="K122" s="11">
        <v>0</v>
      </c>
      <c r="L122" s="1">
        <v>0.33</v>
      </c>
      <c r="M122" s="1" t="s">
        <v>491</v>
      </c>
      <c r="N122" s="1" t="s">
        <v>627</v>
      </c>
      <c r="O122" s="1" t="s">
        <v>435</v>
      </c>
      <c r="P122" s="1" t="s">
        <v>295</v>
      </c>
      <c r="Q122" s="1">
        <v>3</v>
      </c>
    </row>
    <row r="123" spans="1:17" ht="14.4" customHeight="1" x14ac:dyDescent="0.3">
      <c r="A123" s="10">
        <v>5</v>
      </c>
      <c r="B123" s="1" t="s">
        <v>4</v>
      </c>
      <c r="C123" s="2">
        <v>42565</v>
      </c>
      <c r="D123" s="1" t="s">
        <v>297</v>
      </c>
      <c r="E123" s="1" t="s">
        <v>123</v>
      </c>
      <c r="F123" s="1">
        <v>0.66</v>
      </c>
      <c r="G123" s="1">
        <v>2</v>
      </c>
      <c r="H123" s="1">
        <v>1</v>
      </c>
      <c r="I123" s="1">
        <v>0</v>
      </c>
      <c r="J123" s="1">
        <v>0</v>
      </c>
      <c r="K123" s="11">
        <v>1</v>
      </c>
      <c r="L123" s="1">
        <v>0.33</v>
      </c>
      <c r="M123" s="1" t="s">
        <v>491</v>
      </c>
      <c r="N123" s="1" t="s">
        <v>628</v>
      </c>
      <c r="O123" s="1" t="s">
        <v>436</v>
      </c>
      <c r="P123" s="1" t="s">
        <v>296</v>
      </c>
      <c r="Q123" s="1">
        <v>4</v>
      </c>
    </row>
    <row r="124" spans="1:17" ht="14.4" customHeight="1" x14ac:dyDescent="0.3">
      <c r="A124" s="10">
        <v>5</v>
      </c>
      <c r="B124" s="1" t="s">
        <v>4</v>
      </c>
      <c r="C124" s="2">
        <v>43692</v>
      </c>
      <c r="D124" s="1" t="s">
        <v>283</v>
      </c>
      <c r="E124" s="1" t="s">
        <v>123</v>
      </c>
      <c r="F124" s="1">
        <v>0.66</v>
      </c>
      <c r="G124" s="1">
        <v>2</v>
      </c>
      <c r="H124" s="1">
        <v>1</v>
      </c>
      <c r="I124" s="1">
        <v>0</v>
      </c>
      <c r="J124" s="1">
        <v>0</v>
      </c>
      <c r="K124" s="11">
        <v>1</v>
      </c>
      <c r="L124" s="1">
        <v>0.33</v>
      </c>
      <c r="M124" s="1" t="s">
        <v>491</v>
      </c>
      <c r="N124" s="1" t="s">
        <v>629</v>
      </c>
      <c r="O124" s="1" t="s">
        <v>404</v>
      </c>
      <c r="P124" s="1" t="s">
        <v>284</v>
      </c>
      <c r="Q124" s="1">
        <v>3</v>
      </c>
    </row>
    <row r="125" spans="1:17" ht="14.4" customHeight="1" x14ac:dyDescent="0.3">
      <c r="A125" s="14">
        <v>5</v>
      </c>
      <c r="B125" s="4" t="s">
        <v>4</v>
      </c>
      <c r="C125" s="5">
        <v>44041</v>
      </c>
      <c r="D125" s="4" t="s">
        <v>285</v>
      </c>
      <c r="E125" s="4" t="s">
        <v>123</v>
      </c>
      <c r="F125" s="1">
        <v>0.66</v>
      </c>
      <c r="G125" s="4">
        <v>2</v>
      </c>
      <c r="H125" s="4">
        <v>1</v>
      </c>
      <c r="I125" s="4">
        <v>0</v>
      </c>
      <c r="J125" s="4">
        <v>0</v>
      </c>
      <c r="K125" s="50">
        <v>1</v>
      </c>
      <c r="L125" s="1">
        <v>0.33</v>
      </c>
      <c r="M125" s="1" t="s">
        <v>491</v>
      </c>
      <c r="N125" s="1" t="s">
        <v>630</v>
      </c>
      <c r="O125" s="1" t="s">
        <v>408</v>
      </c>
      <c r="P125" s="1" t="s">
        <v>286</v>
      </c>
      <c r="Q125" s="1">
        <v>3</v>
      </c>
    </row>
    <row r="126" spans="1:17" ht="14.4" customHeight="1" x14ac:dyDescent="0.3">
      <c r="A126" s="10">
        <v>5</v>
      </c>
      <c r="B126" s="1" t="s">
        <v>4</v>
      </c>
      <c r="C126" s="2">
        <v>44228</v>
      </c>
      <c r="D126" s="1" t="s">
        <v>287</v>
      </c>
      <c r="E126" s="1" t="s">
        <v>123</v>
      </c>
      <c r="F126" s="1">
        <v>3</v>
      </c>
      <c r="G126" s="1">
        <v>3</v>
      </c>
      <c r="H126" s="1">
        <v>1</v>
      </c>
      <c r="I126" s="1">
        <v>0</v>
      </c>
      <c r="J126" s="1">
        <v>1</v>
      </c>
      <c r="K126" s="11">
        <v>1</v>
      </c>
      <c r="L126" s="1">
        <v>1</v>
      </c>
      <c r="M126" s="1" t="s">
        <v>489</v>
      </c>
      <c r="N126" s="1" t="s">
        <v>631</v>
      </c>
      <c r="O126" s="1" t="s">
        <v>408</v>
      </c>
      <c r="P126" s="1" t="s">
        <v>288</v>
      </c>
      <c r="Q126" s="1">
        <v>3</v>
      </c>
    </row>
    <row r="127" spans="1:17" ht="14.4" customHeight="1" x14ac:dyDescent="0.3">
      <c r="A127" s="14">
        <v>5</v>
      </c>
      <c r="B127" s="4" t="s">
        <v>4</v>
      </c>
      <c r="C127" s="2">
        <v>45214</v>
      </c>
      <c r="D127" s="1" t="s">
        <v>289</v>
      </c>
      <c r="E127" s="1" t="s">
        <v>122</v>
      </c>
      <c r="F127" s="1">
        <v>1.32</v>
      </c>
      <c r="G127" s="1">
        <v>2</v>
      </c>
      <c r="H127" s="1">
        <v>1</v>
      </c>
      <c r="I127" s="1">
        <v>1</v>
      </c>
      <c r="J127" s="1">
        <v>-1</v>
      </c>
      <c r="K127" s="11">
        <v>1</v>
      </c>
      <c r="L127" s="1">
        <v>0.66</v>
      </c>
      <c r="M127" s="1" t="s">
        <v>490</v>
      </c>
      <c r="N127" s="1" t="s">
        <v>632</v>
      </c>
      <c r="O127" s="1" t="s">
        <v>437</v>
      </c>
      <c r="P127" s="1" t="s">
        <v>290</v>
      </c>
      <c r="Q127" s="1">
        <v>4</v>
      </c>
    </row>
    <row r="128" spans="1:17" ht="14.4" customHeight="1" x14ac:dyDescent="0.3">
      <c r="A128" s="10">
        <v>5</v>
      </c>
      <c r="B128" s="1" t="s">
        <v>4</v>
      </c>
      <c r="C128" s="2">
        <v>45427</v>
      </c>
      <c r="D128" s="1" t="s">
        <v>308</v>
      </c>
      <c r="E128" s="1" t="s">
        <v>120</v>
      </c>
      <c r="F128" s="1">
        <v>0.33</v>
      </c>
      <c r="G128" s="1">
        <v>1</v>
      </c>
      <c r="H128" s="1">
        <v>1</v>
      </c>
      <c r="I128" s="1">
        <v>0</v>
      </c>
      <c r="J128" s="1">
        <v>-1</v>
      </c>
      <c r="K128" s="11">
        <v>1</v>
      </c>
      <c r="L128" s="1">
        <v>0.33</v>
      </c>
      <c r="M128" s="1" t="s">
        <v>491</v>
      </c>
      <c r="N128" s="1" t="s">
        <v>633</v>
      </c>
      <c r="O128" s="1" t="s">
        <v>393</v>
      </c>
      <c r="P128" s="1" t="s">
        <v>293</v>
      </c>
      <c r="Q128" s="1">
        <v>8</v>
      </c>
    </row>
    <row r="129" spans="1:17" ht="14.4" customHeight="1" x14ac:dyDescent="0.3">
      <c r="A129" s="14">
        <v>5</v>
      </c>
      <c r="B129" s="4" t="s">
        <v>4</v>
      </c>
      <c r="C129" s="5">
        <v>45576</v>
      </c>
      <c r="D129" s="4" t="s">
        <v>292</v>
      </c>
      <c r="E129" s="4" t="s">
        <v>122</v>
      </c>
      <c r="F129" s="1">
        <v>-3</v>
      </c>
      <c r="G129" s="4">
        <v>-3</v>
      </c>
      <c r="H129" s="4">
        <v>0</v>
      </c>
      <c r="I129" s="4">
        <v>-1</v>
      </c>
      <c r="J129" s="4">
        <v>-1</v>
      </c>
      <c r="K129" s="50">
        <v>-1</v>
      </c>
      <c r="L129" s="1">
        <v>1</v>
      </c>
      <c r="M129" s="1" t="s">
        <v>489</v>
      </c>
      <c r="N129" s="1" t="s">
        <v>634</v>
      </c>
      <c r="O129" s="1" t="s">
        <v>386</v>
      </c>
      <c r="P129" s="1" t="s">
        <v>291</v>
      </c>
      <c r="Q129" s="1">
        <v>6</v>
      </c>
    </row>
    <row r="130" spans="1:17" ht="14.4" customHeight="1" x14ac:dyDescent="0.3">
      <c r="A130" s="10">
        <v>9</v>
      </c>
      <c r="B130" s="1" t="s">
        <v>3</v>
      </c>
      <c r="C130" s="2">
        <v>42461</v>
      </c>
      <c r="D130" s="1" t="s">
        <v>299</v>
      </c>
      <c r="E130" s="1" t="s">
        <v>123</v>
      </c>
      <c r="F130" s="1">
        <v>1.32</v>
      </c>
      <c r="G130" s="1">
        <v>2</v>
      </c>
      <c r="H130" s="1">
        <v>1</v>
      </c>
      <c r="I130" s="1">
        <v>0</v>
      </c>
      <c r="J130" s="1">
        <v>0</v>
      </c>
      <c r="K130" s="11">
        <v>1</v>
      </c>
      <c r="L130" s="1">
        <v>0.66</v>
      </c>
      <c r="M130" s="1" t="s">
        <v>490</v>
      </c>
      <c r="N130" s="1" t="s">
        <v>635</v>
      </c>
      <c r="O130" s="1" t="s">
        <v>440</v>
      </c>
      <c r="P130" s="1" t="s">
        <v>300</v>
      </c>
      <c r="Q130" s="1">
        <v>3</v>
      </c>
    </row>
    <row r="131" spans="1:17" ht="14.4" customHeight="1" x14ac:dyDescent="0.3">
      <c r="A131" s="14">
        <v>9</v>
      </c>
      <c r="B131" s="4" t="s">
        <v>3</v>
      </c>
      <c r="C131" s="5">
        <v>43101</v>
      </c>
      <c r="D131" s="53" t="s">
        <v>307</v>
      </c>
      <c r="E131" s="4" t="s">
        <v>123</v>
      </c>
      <c r="F131" s="1">
        <v>0</v>
      </c>
      <c r="G131" s="4">
        <v>0</v>
      </c>
      <c r="H131" s="4">
        <v>1</v>
      </c>
      <c r="I131" s="4">
        <v>0</v>
      </c>
      <c r="J131" s="4">
        <v>-1</v>
      </c>
      <c r="K131" s="50">
        <v>0</v>
      </c>
      <c r="L131" s="1">
        <v>0.33</v>
      </c>
      <c r="M131" s="1" t="s">
        <v>491</v>
      </c>
      <c r="N131" s="1" t="s">
        <v>636</v>
      </c>
      <c r="O131" s="1" t="s">
        <v>443</v>
      </c>
      <c r="P131" s="1" t="s">
        <v>298</v>
      </c>
      <c r="Q131" s="1">
        <v>3</v>
      </c>
    </row>
    <row r="132" spans="1:17" ht="14.4" customHeight="1" x14ac:dyDescent="0.3">
      <c r="A132" s="10">
        <v>9</v>
      </c>
      <c r="B132" s="1" t="s">
        <v>3</v>
      </c>
      <c r="C132" s="2">
        <v>43235</v>
      </c>
      <c r="D132" s="54" t="s">
        <v>304</v>
      </c>
      <c r="E132" s="1" t="s">
        <v>123</v>
      </c>
      <c r="F132" s="1">
        <v>3</v>
      </c>
      <c r="G132" s="1">
        <v>3</v>
      </c>
      <c r="H132" s="1">
        <v>1</v>
      </c>
      <c r="I132" s="1">
        <v>0</v>
      </c>
      <c r="J132" s="1">
        <v>1</v>
      </c>
      <c r="K132" s="11">
        <v>1</v>
      </c>
      <c r="L132" s="1">
        <v>1</v>
      </c>
      <c r="M132" s="1" t="s">
        <v>489</v>
      </c>
      <c r="N132" s="1" t="s">
        <v>637</v>
      </c>
      <c r="O132" s="1" t="s">
        <v>441</v>
      </c>
      <c r="P132" s="1" t="s">
        <v>302</v>
      </c>
      <c r="Q132" s="1">
        <v>3</v>
      </c>
    </row>
    <row r="133" spans="1:17" ht="14.4" customHeight="1" x14ac:dyDescent="0.3">
      <c r="A133" s="10">
        <v>9</v>
      </c>
      <c r="B133" s="1" t="s">
        <v>3</v>
      </c>
      <c r="C133" s="2">
        <v>43670</v>
      </c>
      <c r="D133" s="54" t="s">
        <v>306</v>
      </c>
      <c r="E133" s="1" t="s">
        <v>123</v>
      </c>
      <c r="F133" s="1">
        <v>1.98</v>
      </c>
      <c r="G133" s="1">
        <v>3</v>
      </c>
      <c r="H133" s="1">
        <v>1</v>
      </c>
      <c r="I133" s="1">
        <v>0</v>
      </c>
      <c r="J133" s="1">
        <v>1</v>
      </c>
      <c r="K133" s="11">
        <v>1</v>
      </c>
      <c r="L133" s="1">
        <v>0.66</v>
      </c>
      <c r="M133" s="1" t="s">
        <v>490</v>
      </c>
      <c r="N133" s="1" t="s">
        <v>638</v>
      </c>
      <c r="O133" s="1" t="s">
        <v>408</v>
      </c>
      <c r="P133" s="1" t="s">
        <v>305</v>
      </c>
      <c r="Q133" s="1">
        <v>4</v>
      </c>
    </row>
    <row r="134" spans="1:17" ht="14.4" customHeight="1" x14ac:dyDescent="0.3">
      <c r="A134" s="14">
        <v>9</v>
      </c>
      <c r="B134" s="4" t="s">
        <v>3</v>
      </c>
      <c r="C134" s="5">
        <v>44197</v>
      </c>
      <c r="D134" s="4" t="s">
        <v>301</v>
      </c>
      <c r="E134" s="4" t="s">
        <v>123</v>
      </c>
      <c r="F134" s="4">
        <v>1.32</v>
      </c>
      <c r="G134" s="4">
        <v>2</v>
      </c>
      <c r="H134" s="4">
        <v>1</v>
      </c>
      <c r="I134" s="4">
        <v>0</v>
      </c>
      <c r="J134" s="4">
        <v>0</v>
      </c>
      <c r="K134" s="50">
        <v>1</v>
      </c>
      <c r="L134" s="4">
        <v>0.66</v>
      </c>
      <c r="M134" s="4" t="s">
        <v>490</v>
      </c>
      <c r="N134" s="4" t="s">
        <v>639</v>
      </c>
      <c r="O134" s="4" t="s">
        <v>442</v>
      </c>
      <c r="P134" s="4" t="s">
        <v>303</v>
      </c>
      <c r="Q134" s="4">
        <v>3</v>
      </c>
    </row>
    <row r="135" spans="1:17" x14ac:dyDescent="0.3">
      <c r="A135" s="10">
        <v>2</v>
      </c>
      <c r="B135" s="1" t="s">
        <v>5</v>
      </c>
      <c r="C135" s="2">
        <v>42178</v>
      </c>
      <c r="D135" s="1" t="s">
        <v>270</v>
      </c>
      <c r="E135" s="1" t="s">
        <v>122</v>
      </c>
      <c r="F135" s="1">
        <v>-3</v>
      </c>
      <c r="G135" s="1">
        <v>-3</v>
      </c>
      <c r="H135" s="1">
        <v>0</v>
      </c>
      <c r="I135" s="1">
        <v>-1</v>
      </c>
      <c r="J135" s="1">
        <v>-1</v>
      </c>
      <c r="K135" s="1">
        <v>-1</v>
      </c>
      <c r="L135" s="63">
        <v>1</v>
      </c>
      <c r="M135" s="63" t="s">
        <v>489</v>
      </c>
      <c r="N135" s="63" t="s">
        <v>609</v>
      </c>
      <c r="O135" s="63" t="s">
        <v>425</v>
      </c>
      <c r="P135" s="88" t="s">
        <v>269</v>
      </c>
      <c r="Q135" s="49">
        <v>7</v>
      </c>
    </row>
    <row r="136" spans="1:17" x14ac:dyDescent="0.3">
      <c r="A136" s="14">
        <v>2</v>
      </c>
      <c r="B136" s="4" t="s">
        <v>5</v>
      </c>
      <c r="C136" s="5">
        <v>42262</v>
      </c>
      <c r="D136" s="4" t="s">
        <v>248</v>
      </c>
      <c r="E136" s="4" t="s">
        <v>120</v>
      </c>
      <c r="F136" s="1">
        <v>-2</v>
      </c>
      <c r="G136" s="1">
        <v>-2</v>
      </c>
      <c r="H136" s="4">
        <v>1</v>
      </c>
      <c r="I136" s="4">
        <v>-1</v>
      </c>
      <c r="J136" s="4">
        <v>-1</v>
      </c>
      <c r="K136" s="4">
        <v>-1</v>
      </c>
      <c r="L136" s="63">
        <v>1</v>
      </c>
      <c r="M136" s="76" t="s">
        <v>489</v>
      </c>
      <c r="N136" s="76" t="s">
        <v>610</v>
      </c>
      <c r="O136" s="63" t="s">
        <v>426</v>
      </c>
      <c r="P136" s="89" t="s">
        <v>247</v>
      </c>
      <c r="Q136" s="63">
        <v>5</v>
      </c>
    </row>
    <row r="137" spans="1:17" x14ac:dyDescent="0.3">
      <c r="A137" s="14">
        <v>2</v>
      </c>
      <c r="B137" s="4" t="s">
        <v>5</v>
      </c>
      <c r="C137" s="2">
        <v>42294</v>
      </c>
      <c r="D137" s="1" t="s">
        <v>250</v>
      </c>
      <c r="E137" s="1" t="s">
        <v>120</v>
      </c>
      <c r="F137" s="1">
        <v>-2</v>
      </c>
      <c r="G137" s="1">
        <v>-2</v>
      </c>
      <c r="H137" s="1">
        <v>1</v>
      </c>
      <c r="I137" s="1">
        <v>-1</v>
      </c>
      <c r="J137" s="1">
        <v>-1</v>
      </c>
      <c r="K137" s="1">
        <v>-1</v>
      </c>
      <c r="L137" s="63">
        <v>1</v>
      </c>
      <c r="M137" s="63" t="s">
        <v>489</v>
      </c>
      <c r="N137" s="63" t="s">
        <v>611</v>
      </c>
      <c r="O137" s="63" t="s">
        <v>427</v>
      </c>
      <c r="P137" s="88" t="s">
        <v>249</v>
      </c>
      <c r="Q137" s="63">
        <v>8</v>
      </c>
    </row>
    <row r="138" spans="1:17" x14ac:dyDescent="0.3">
      <c r="A138" s="10">
        <v>2</v>
      </c>
      <c r="B138" s="1" t="s">
        <v>5</v>
      </c>
      <c r="C138" s="2">
        <v>42370</v>
      </c>
      <c r="D138" s="1" t="s">
        <v>271</v>
      </c>
      <c r="E138" s="1" t="s">
        <v>123</v>
      </c>
      <c r="F138" s="1">
        <v>-2</v>
      </c>
      <c r="G138" s="1">
        <v>-2</v>
      </c>
      <c r="H138" s="1">
        <v>1</v>
      </c>
      <c r="I138" s="1">
        <v>-1</v>
      </c>
      <c r="J138" s="1">
        <v>-1</v>
      </c>
      <c r="K138" s="1">
        <v>-1</v>
      </c>
      <c r="L138" s="63">
        <v>1</v>
      </c>
      <c r="M138" s="63" t="s">
        <v>489</v>
      </c>
      <c r="N138" s="63" t="s">
        <v>612</v>
      </c>
      <c r="O138" s="63" t="s">
        <v>404</v>
      </c>
      <c r="P138" s="88" t="s">
        <v>272</v>
      </c>
      <c r="Q138" s="63">
        <v>5</v>
      </c>
    </row>
    <row r="139" spans="1:17" x14ac:dyDescent="0.3">
      <c r="A139" s="14">
        <v>2</v>
      </c>
      <c r="B139" s="4" t="s">
        <v>5</v>
      </c>
      <c r="C139" s="2">
        <v>42565</v>
      </c>
      <c r="D139" s="1" t="s">
        <v>252</v>
      </c>
      <c r="E139" s="1" t="s">
        <v>120</v>
      </c>
      <c r="F139" s="1">
        <v>-2</v>
      </c>
      <c r="G139" s="1">
        <v>-2</v>
      </c>
      <c r="H139" s="1">
        <v>1</v>
      </c>
      <c r="I139" s="1">
        <v>-1</v>
      </c>
      <c r="J139" s="1">
        <v>-1</v>
      </c>
      <c r="K139" s="1">
        <v>-1</v>
      </c>
      <c r="L139" s="63">
        <v>1</v>
      </c>
      <c r="M139" s="63" t="s">
        <v>489</v>
      </c>
      <c r="N139" s="63" t="s">
        <v>613</v>
      </c>
      <c r="O139" s="63" t="s">
        <v>425</v>
      </c>
      <c r="P139" s="88" t="s">
        <v>251</v>
      </c>
      <c r="Q139" s="63">
        <v>6</v>
      </c>
    </row>
    <row r="140" spans="1:17" x14ac:dyDescent="0.3">
      <c r="A140" s="14">
        <v>2</v>
      </c>
      <c r="B140" s="4" t="s">
        <v>5</v>
      </c>
      <c r="C140" s="2">
        <v>42646</v>
      </c>
      <c r="D140" s="1" t="s">
        <v>253</v>
      </c>
      <c r="E140" s="1" t="s">
        <v>123</v>
      </c>
      <c r="F140" s="1">
        <v>-1.32</v>
      </c>
      <c r="G140" s="1">
        <v>-2</v>
      </c>
      <c r="H140" s="1">
        <v>0</v>
      </c>
      <c r="I140" s="1">
        <v>-1</v>
      </c>
      <c r="J140" s="1">
        <v>0</v>
      </c>
      <c r="K140" s="1">
        <v>-1</v>
      </c>
      <c r="L140" s="63">
        <v>0.66</v>
      </c>
      <c r="M140" s="63" t="s">
        <v>490</v>
      </c>
      <c r="N140" s="63" t="s">
        <v>614</v>
      </c>
      <c r="O140" s="63" t="s">
        <v>425</v>
      </c>
      <c r="P140" s="88" t="s">
        <v>254</v>
      </c>
      <c r="Q140" s="63">
        <v>6</v>
      </c>
    </row>
    <row r="141" spans="1:17" x14ac:dyDescent="0.3">
      <c r="A141" s="10">
        <v>2</v>
      </c>
      <c r="B141" s="1" t="s">
        <v>5</v>
      </c>
      <c r="C141" s="2">
        <v>42803</v>
      </c>
      <c r="D141" s="1" t="s">
        <v>268</v>
      </c>
      <c r="E141" s="1" t="s">
        <v>123</v>
      </c>
      <c r="F141" s="1">
        <v>-2</v>
      </c>
      <c r="G141" s="1">
        <v>-2</v>
      </c>
      <c r="H141" s="1">
        <v>1</v>
      </c>
      <c r="I141" s="1">
        <v>-1</v>
      </c>
      <c r="J141" s="1">
        <v>-1</v>
      </c>
      <c r="K141" s="1">
        <v>-1</v>
      </c>
      <c r="L141" s="63">
        <v>1</v>
      </c>
      <c r="M141" s="63" t="s">
        <v>489</v>
      </c>
      <c r="N141" s="63" t="s">
        <v>615</v>
      </c>
      <c r="O141" s="63" t="s">
        <v>389</v>
      </c>
      <c r="P141" s="88" t="s">
        <v>267</v>
      </c>
      <c r="Q141" s="63">
        <v>4</v>
      </c>
    </row>
    <row r="142" spans="1:17" x14ac:dyDescent="0.3">
      <c r="A142" s="14">
        <v>2</v>
      </c>
      <c r="B142" s="4" t="s">
        <v>5</v>
      </c>
      <c r="C142" s="2">
        <v>43271</v>
      </c>
      <c r="D142" s="1" t="s">
        <v>256</v>
      </c>
      <c r="E142" s="1" t="s">
        <v>123</v>
      </c>
      <c r="F142" s="1">
        <v>-0.66</v>
      </c>
      <c r="G142" s="1">
        <v>-1</v>
      </c>
      <c r="H142" s="1">
        <v>1</v>
      </c>
      <c r="I142" s="1">
        <v>0</v>
      </c>
      <c r="J142" s="1">
        <v>-1</v>
      </c>
      <c r="K142" s="1">
        <v>-1</v>
      </c>
      <c r="L142" s="63">
        <v>0.66</v>
      </c>
      <c r="M142" s="63" t="s">
        <v>490</v>
      </c>
      <c r="N142" s="63" t="s">
        <v>616</v>
      </c>
      <c r="O142" s="63" t="s">
        <v>386</v>
      </c>
      <c r="P142" s="88" t="s">
        <v>255</v>
      </c>
      <c r="Q142" s="63">
        <v>6</v>
      </c>
    </row>
    <row r="143" spans="1:17" x14ac:dyDescent="0.3">
      <c r="A143" s="10">
        <v>2</v>
      </c>
      <c r="B143" s="1" t="s">
        <v>5</v>
      </c>
      <c r="C143" s="2">
        <v>43901</v>
      </c>
      <c r="D143" s="1" t="s">
        <v>262</v>
      </c>
      <c r="E143" s="1" t="s">
        <v>121</v>
      </c>
      <c r="F143" s="1">
        <v>-1.32</v>
      </c>
      <c r="G143" s="1">
        <v>-2</v>
      </c>
      <c r="H143" s="1">
        <v>0</v>
      </c>
      <c r="I143" s="1">
        <v>-1</v>
      </c>
      <c r="J143" s="1">
        <v>-1</v>
      </c>
      <c r="K143" s="1">
        <v>0</v>
      </c>
      <c r="L143" s="63">
        <v>0.66</v>
      </c>
      <c r="M143" s="63" t="s">
        <v>490</v>
      </c>
      <c r="N143" s="63" t="s">
        <v>617</v>
      </c>
      <c r="O143" s="63" t="s">
        <v>428</v>
      </c>
      <c r="P143" s="88" t="s">
        <v>261</v>
      </c>
      <c r="Q143" s="63">
        <v>4</v>
      </c>
    </row>
    <row r="144" spans="1:17" x14ac:dyDescent="0.3">
      <c r="A144" s="14">
        <v>2</v>
      </c>
      <c r="B144" s="4" t="s">
        <v>5</v>
      </c>
      <c r="C144" s="2">
        <v>43973</v>
      </c>
      <c r="D144" s="1" t="s">
        <v>258</v>
      </c>
      <c r="E144" s="1" t="s">
        <v>123</v>
      </c>
      <c r="F144" s="1">
        <v>-0.66</v>
      </c>
      <c r="G144" s="1">
        <v>-1</v>
      </c>
      <c r="H144" s="1">
        <v>-1</v>
      </c>
      <c r="I144" s="1">
        <v>0</v>
      </c>
      <c r="J144" s="1">
        <v>0</v>
      </c>
      <c r="K144" s="1">
        <v>0</v>
      </c>
      <c r="L144" s="63">
        <v>0.66</v>
      </c>
      <c r="M144" s="63" t="s">
        <v>490</v>
      </c>
      <c r="N144" s="63" t="s">
        <v>618</v>
      </c>
      <c r="O144" s="63" t="s">
        <v>392</v>
      </c>
      <c r="P144" s="88" t="s">
        <v>257</v>
      </c>
      <c r="Q144" s="63">
        <v>5</v>
      </c>
    </row>
    <row r="145" spans="1:17" x14ac:dyDescent="0.3">
      <c r="A145" s="14">
        <v>2</v>
      </c>
      <c r="B145" s="4" t="s">
        <v>5</v>
      </c>
      <c r="C145" s="2">
        <v>44197</v>
      </c>
      <c r="D145" s="1" t="s">
        <v>260</v>
      </c>
      <c r="E145" s="1" t="s">
        <v>122</v>
      </c>
      <c r="F145" s="1">
        <v>-3</v>
      </c>
      <c r="G145" s="1">
        <v>-3</v>
      </c>
      <c r="H145" s="1">
        <v>-1</v>
      </c>
      <c r="I145" s="1">
        <v>0</v>
      </c>
      <c r="J145" s="1">
        <v>-1</v>
      </c>
      <c r="K145" s="1">
        <v>-1</v>
      </c>
      <c r="L145" s="63">
        <v>1</v>
      </c>
      <c r="M145" s="63" t="s">
        <v>489</v>
      </c>
      <c r="N145" s="63" t="s">
        <v>619</v>
      </c>
      <c r="O145" s="63" t="s">
        <v>429</v>
      </c>
      <c r="P145" s="88" t="s">
        <v>259</v>
      </c>
      <c r="Q145" s="63">
        <v>7</v>
      </c>
    </row>
    <row r="146" spans="1:17" x14ac:dyDescent="0.3">
      <c r="A146" s="14">
        <v>2</v>
      </c>
      <c r="B146" s="4" t="s">
        <v>5</v>
      </c>
      <c r="C146" s="2">
        <v>45780</v>
      </c>
      <c r="D146" s="1" t="s">
        <v>263</v>
      </c>
      <c r="E146" s="1" t="s">
        <v>123</v>
      </c>
      <c r="F146" s="1">
        <v>-1.32</v>
      </c>
      <c r="G146" s="1">
        <v>-2</v>
      </c>
      <c r="H146" s="1">
        <v>0</v>
      </c>
      <c r="I146" s="1">
        <v>0</v>
      </c>
      <c r="J146" s="1">
        <v>-1</v>
      </c>
      <c r="K146" s="1">
        <v>-1</v>
      </c>
      <c r="L146" s="63">
        <v>0.66</v>
      </c>
      <c r="M146" s="63" t="s">
        <v>490</v>
      </c>
      <c r="N146" s="63" t="s">
        <v>620</v>
      </c>
      <c r="O146" s="63" t="s">
        <v>430</v>
      </c>
      <c r="P146" s="88" t="s">
        <v>264</v>
      </c>
      <c r="Q146" s="63">
        <v>5</v>
      </c>
    </row>
    <row r="147" spans="1:17" x14ac:dyDescent="0.3">
      <c r="A147" s="14">
        <v>2</v>
      </c>
      <c r="B147" s="4" t="s">
        <v>5</v>
      </c>
      <c r="C147" s="5">
        <v>45804</v>
      </c>
      <c r="D147" s="4" t="s">
        <v>265</v>
      </c>
      <c r="E147" s="4" t="s">
        <v>122</v>
      </c>
      <c r="F147" s="1">
        <v>-1.32</v>
      </c>
      <c r="G147" s="1">
        <v>-2</v>
      </c>
      <c r="H147" s="4">
        <v>0</v>
      </c>
      <c r="I147" s="4">
        <v>-1</v>
      </c>
      <c r="J147" s="4">
        <v>0</v>
      </c>
      <c r="K147" s="4">
        <v>-1</v>
      </c>
      <c r="L147" s="63">
        <v>0.66</v>
      </c>
      <c r="M147" s="76" t="s">
        <v>490</v>
      </c>
      <c r="N147" s="76" t="s">
        <v>621</v>
      </c>
      <c r="O147" s="63" t="s">
        <v>431</v>
      </c>
      <c r="P147" s="89" t="s">
        <v>266</v>
      </c>
      <c r="Q147" s="76">
        <v>6</v>
      </c>
    </row>
    <row r="148" spans="1:17" x14ac:dyDescent="0.3">
      <c r="C148" s="52"/>
    </row>
    <row r="149" spans="1:17" x14ac:dyDescent="0.3">
      <c r="C149" s="52"/>
    </row>
    <row r="150" spans="1:17" x14ac:dyDescent="0.3">
      <c r="C150" s="52"/>
    </row>
    <row r="151" spans="1:17" x14ac:dyDescent="0.3">
      <c r="C151" s="52"/>
    </row>
    <row r="152" spans="1:17" x14ac:dyDescent="0.3">
      <c r="C152" s="52"/>
    </row>
    <row r="153" spans="1:17" x14ac:dyDescent="0.3">
      <c r="C153" s="52"/>
    </row>
    <row r="154" spans="1:17" x14ac:dyDescent="0.3">
      <c r="C154" s="52"/>
    </row>
    <row r="155" spans="1:17" x14ac:dyDescent="0.3">
      <c r="C155" s="52"/>
    </row>
    <row r="156" spans="1:17" x14ac:dyDescent="0.3">
      <c r="C156" s="52"/>
    </row>
    <row r="157" spans="1:17" x14ac:dyDescent="0.3">
      <c r="C157" s="52"/>
    </row>
    <row r="158" spans="1:17" x14ac:dyDescent="0.3">
      <c r="C158" s="52"/>
    </row>
    <row r="159" spans="1:17" x14ac:dyDescent="0.3">
      <c r="C159" s="52"/>
    </row>
    <row r="160" spans="1:17" x14ac:dyDescent="0.3">
      <c r="C160" s="52"/>
    </row>
    <row r="161" spans="3:3" x14ac:dyDescent="0.3">
      <c r="C161" s="52"/>
    </row>
    <row r="162" spans="3:3" x14ac:dyDescent="0.3">
      <c r="C162" s="52"/>
    </row>
    <row r="163" spans="3:3" x14ac:dyDescent="0.3">
      <c r="C163" s="52"/>
    </row>
    <row r="164" spans="3:3" x14ac:dyDescent="0.3">
      <c r="C164" s="52"/>
    </row>
    <row r="165" spans="3:3" x14ac:dyDescent="0.3">
      <c r="C165" s="52"/>
    </row>
    <row r="166" spans="3:3" x14ac:dyDescent="0.3">
      <c r="C166" s="52"/>
    </row>
    <row r="167" spans="3:3" x14ac:dyDescent="0.3">
      <c r="C167" s="52"/>
    </row>
    <row r="168" spans="3:3" x14ac:dyDescent="0.3">
      <c r="C168" s="52"/>
    </row>
    <row r="169" spans="3:3" x14ac:dyDescent="0.3">
      <c r="C169" s="52"/>
    </row>
    <row r="170" spans="3:3" x14ac:dyDescent="0.3">
      <c r="C170" s="52"/>
    </row>
    <row r="171" spans="3:3" x14ac:dyDescent="0.3">
      <c r="C171" s="52"/>
    </row>
    <row r="172" spans="3:3" x14ac:dyDescent="0.3">
      <c r="C172" s="52"/>
    </row>
    <row r="173" spans="3:3" x14ac:dyDescent="0.3">
      <c r="C173" s="52"/>
    </row>
    <row r="174" spans="3:3" x14ac:dyDescent="0.3">
      <c r="C174" s="52"/>
    </row>
    <row r="175" spans="3:3" x14ac:dyDescent="0.3">
      <c r="C175" s="52"/>
    </row>
    <row r="176" spans="3:3" x14ac:dyDescent="0.3">
      <c r="C176" s="52"/>
    </row>
    <row r="177" spans="3:3" x14ac:dyDescent="0.3">
      <c r="C177" s="52"/>
    </row>
    <row r="178" spans="3:3" x14ac:dyDescent="0.3">
      <c r="C178" s="52"/>
    </row>
    <row r="179" spans="3:3" x14ac:dyDescent="0.3">
      <c r="C179" s="52"/>
    </row>
    <row r="180" spans="3:3" x14ac:dyDescent="0.3">
      <c r="C180" s="52"/>
    </row>
    <row r="181" spans="3:3" x14ac:dyDescent="0.3">
      <c r="C181" s="52"/>
    </row>
    <row r="182" spans="3:3" x14ac:dyDescent="0.3">
      <c r="C182" s="52"/>
    </row>
    <row r="183" spans="3:3" x14ac:dyDescent="0.3">
      <c r="C183" s="52"/>
    </row>
    <row r="184" spans="3:3" x14ac:dyDescent="0.3">
      <c r="C184" s="52"/>
    </row>
    <row r="185" spans="3:3" x14ac:dyDescent="0.3">
      <c r="C185" s="52"/>
    </row>
    <row r="186" spans="3:3" x14ac:dyDescent="0.3">
      <c r="C186" s="52"/>
    </row>
    <row r="187" spans="3:3" x14ac:dyDescent="0.3">
      <c r="C187" s="52"/>
    </row>
    <row r="188" spans="3:3" x14ac:dyDescent="0.3">
      <c r="C188" s="52"/>
    </row>
    <row r="189" spans="3:3" x14ac:dyDescent="0.3">
      <c r="C189" s="52"/>
    </row>
    <row r="190" spans="3:3" x14ac:dyDescent="0.3">
      <c r="C190" s="52"/>
    </row>
    <row r="191" spans="3:3" x14ac:dyDescent="0.3">
      <c r="C191" s="52"/>
    </row>
    <row r="192" spans="3:3" x14ac:dyDescent="0.3">
      <c r="C192" s="52"/>
    </row>
    <row r="193" spans="3:3" x14ac:dyDescent="0.3">
      <c r="C193" s="52"/>
    </row>
    <row r="194" spans="3:3" x14ac:dyDescent="0.3">
      <c r="C194" s="52"/>
    </row>
    <row r="195" spans="3:3" x14ac:dyDescent="0.3">
      <c r="C195" s="52"/>
    </row>
    <row r="196" spans="3:3" x14ac:dyDescent="0.3">
      <c r="C196" s="52"/>
    </row>
    <row r="197" spans="3:3" x14ac:dyDescent="0.3">
      <c r="C197" s="52"/>
    </row>
    <row r="198" spans="3:3" x14ac:dyDescent="0.3">
      <c r="C198" s="52"/>
    </row>
    <row r="199" spans="3:3" x14ac:dyDescent="0.3">
      <c r="C199" s="52"/>
    </row>
    <row r="200" spans="3:3" x14ac:dyDescent="0.3">
      <c r="C200" s="52"/>
    </row>
    <row r="201" spans="3:3" x14ac:dyDescent="0.3">
      <c r="C201" s="52"/>
    </row>
    <row r="202" spans="3:3" x14ac:dyDescent="0.3">
      <c r="C202" s="52"/>
    </row>
    <row r="203" spans="3:3" x14ac:dyDescent="0.3">
      <c r="C203" s="52"/>
    </row>
    <row r="204" spans="3:3" x14ac:dyDescent="0.3">
      <c r="C204" s="52"/>
    </row>
    <row r="205" spans="3:3" x14ac:dyDescent="0.3">
      <c r="C205" s="52"/>
    </row>
    <row r="206" spans="3:3" x14ac:dyDescent="0.3">
      <c r="C206" s="52"/>
    </row>
    <row r="207" spans="3:3" x14ac:dyDescent="0.3">
      <c r="C207" s="52"/>
    </row>
    <row r="208" spans="3:3" x14ac:dyDescent="0.3">
      <c r="C208" s="52"/>
    </row>
    <row r="209" spans="3:3" x14ac:dyDescent="0.3">
      <c r="C209" s="52"/>
    </row>
    <row r="210" spans="3:3" x14ac:dyDescent="0.3">
      <c r="C210" s="52"/>
    </row>
    <row r="211" spans="3:3" x14ac:dyDescent="0.3">
      <c r="C211" s="52"/>
    </row>
    <row r="212" spans="3:3" x14ac:dyDescent="0.3">
      <c r="C212" s="52"/>
    </row>
    <row r="213" spans="3:3" x14ac:dyDescent="0.3">
      <c r="C213" s="52"/>
    </row>
    <row r="214" spans="3:3" x14ac:dyDescent="0.3">
      <c r="C214" s="52"/>
    </row>
    <row r="215" spans="3:3" x14ac:dyDescent="0.3">
      <c r="C215" s="52"/>
    </row>
    <row r="216" spans="3:3" x14ac:dyDescent="0.3">
      <c r="C216" s="52"/>
    </row>
  </sheetData>
  <phoneticPr fontId="9" type="noConversion"/>
  <hyperlinks>
    <hyperlink ref="K61" r:id="rId1" display="https://natlex.ilo.org/dyn/natlex2/r/natlex/fe/details?cs=1MZCSFvcFNOJzO2BZ-hVVIe0Pom8NnVD4UDhECJUW3BS3jUcfc-cD-IeRktfzNGsdyLUUWiI2-tXi6ydcI-43Rg&amp;p3_isn=102209" xr:uid="{4AE62C72-27E3-4316-9AF0-B2F1B9EF74FE}"/>
    <hyperlink ref="K68" r:id="rId2" display="https://wpsfocalpointsnetwork.org/wp-content/uploads/2021/07/Bosnia-and-Herzegovina-2018-2022.pdf" xr:uid="{47C70824-3018-4DCE-B070-AA810C8367C0}"/>
    <hyperlink ref="K62" r:id="rId3" display="http://refworld.org/legal/legislation/natlegbod/2016/en/123253" xr:uid="{52578F42-4D40-411F-902A-B80A960F06AD}"/>
    <hyperlink ref="K67" r:id="rId4" display="https://www.refworld.org/legal/legislation/natlegbod/2016/en/123226" xr:uid="{18CFBB78-F516-4F81-A042-19E51B05B725}"/>
    <hyperlink ref="K65" r:id="rId5" display="https://msb.gov.ba/vijesti/saopstenja/default.aspx?id=14351&amp;langTag=en-US" xr:uid="{468C3971-C950-4BB7-B2ED-7135E03A201B}"/>
    <hyperlink ref="K75" r:id="rId6" display="https://www.refworld.org/legal/decreees/natlegbod/2021/bs/147521" xr:uid="{29A0CF63-14DF-4923-AAC6-92018778271D}"/>
    <hyperlink ref="K76" r:id="rId7" display="https://msb.gov.ba/PDF/120120244.pdf" xr:uid="{D01EB2DF-6915-4011-B174-022DCF6798AA}"/>
    <hyperlink ref="K78" r:id="rId8" display="https://advokatskafirmasajic.com/blog/the-law-on-amendments-to-the-law-on-foreigners-of-bih-published-in-the-official-gazette-of-bih-no-63-of-15-september-2023-entered-into-force-on-september-23-2023/" xr:uid="{DDE31A96-B2F0-4244-A482-B20422F3ED56}"/>
    <hyperlink ref="K69" r:id="rId9" display="https://movements-journal.org/issues/08.balkanroute/08.hromadzic--notes-from-the-field.html" xr:uid="{EDD0D017-7170-4136-AE90-B1FF6B831DBA}"/>
    <hyperlink ref="K72" r:id="rId10" display="https://balkaninsight.com/2020/12/23/bosnias-troubled-lipa-camp-set-alight-on-closure-day/" xr:uid="{62DB42A0-9CE2-45BD-8DED-7D78D5C1714A}"/>
    <hyperlink ref="K74" r:id="rId11" display="https://bih.iom.int/news/european-union-supports-establishment-new-temporary-reception-centre-lipa" xr:uid="{4AA806DC-9AF2-4B04-97DA-980BF14F56A3}"/>
    <hyperlink ref="K73" r:id="rId12" display="https://www.hrw.org/news/2021/01/21/bosnia-and-herzegovina-migrants-left-cold" xr:uid="{8AC76DD2-638D-44CB-9804-5585745790B9}"/>
    <hyperlink ref="K77" r:id="rId13" display="https://balkaninsight.com/2022/12/09/bosnia-to-tighten-border-controls-in-line-with-eu-demands/" xr:uid="{C3DC482A-7F7B-49CA-BFC1-CD0FCF2BAFE5}"/>
    <hyperlink ref="K63" r:id="rId14" display="https://www.euractiv.com/section/politics/news/migrants-take-new-balkan-route-through-bosnia" xr:uid="{EC6911EA-42BD-4221-A5F9-CDF3A0CBB15A}"/>
    <hyperlink ref="K70" r:id="rId15" display="https://balkaninsight.com/2018/06/19/bosnia-s-police-border-getting-new-200-members-06-19-2018" xr:uid="{2CE3A6E8-306B-4FD1-A220-53C0871C43B0}"/>
    <hyperlink ref="K79" r:id="rId16" display="https://enlargement.ec.europa.eu/document/download/fa9da504-4ecb-4317-b583-c9fff0b833b2_en" xr:uid="{AC4E4D82-C11C-4BEA-A2EF-4202FA823C49}"/>
    <hyperlink ref="K80" r:id="rId17" display="https://enlargement.ec.europa.eu/document/download/451db011-6779-40ea-b34b-a0eeda451746_en?filename=Bosnia+and+Herzegovina+Report+2024.pdf" xr:uid="{1A015E8A-3292-416E-B603-DD5C1C3571E0}"/>
    <hyperlink ref="K64" r:id="rId18" display="https://mvp.gov.ba/HTML/PDFDoc/Konzularno/Rulebook%20on%20entry%20and%20stay%20of%20aliens.pdf" xr:uid="{21C9B956-F177-47CF-944D-0C5EE986465A}"/>
    <hyperlink ref="K60" r:id="rId19" display="https://enlargement.ec.europa.eu/enlargement-policy/bosnia-and-herzegovina_en" xr:uid="{36C495C5-A2B1-4270-94C0-F6E308138962}"/>
    <hyperlink ref="K66" r:id="rId20" display="https://enlargement.ec.europa.eu/system/files/2018-12/20161109_report_bosnia_and_herzegovina.pdf" xr:uid="{9256559C-4C88-411F-8EC4-A18400C3871B}"/>
    <hyperlink ref="K71" r:id="rId21" display="https://enlargement.ec.europa.eu/document/download/b20c3204-68d0-47e7-b344-5e2562a3adce_en" xr:uid="{8C76018B-92F3-4E8B-8A40-2E8652B0A395}"/>
    <hyperlink ref="K81" r:id="rId22" display="https://www.iom.int/sites/g/files/tmzbdl2616/files/country_appeal/file/IOM-European-Migration-Crisis-WB-Response-Plan-Appeal.pdf" xr:uid="{3E9C4A99-0231-4497-8539-57127927F9B3}"/>
    <hyperlink ref="K83" r:id="rId23" display="https://www.unhcr.org/mt/3087-unhcr-chief-says-absolute-nonsense-blame-refugees-terror.html" xr:uid="{9411BA24-3420-49F7-B0AC-B45C510BF83D}"/>
    <hyperlink ref="K89" r:id="rId24" display="https://www.refworld.org/legal/legislation/natlegbod/2018/en/123545" xr:uid="{0BDE7C49-0384-4F55-820A-78E97ED4FC52}"/>
    <hyperlink ref="K90" r:id="rId25" display="https://www.refworld.org/legal/decreees/natlegbod/2018/en/123509" xr:uid="{467DCD58-C473-4565-8D32-A32D513D78E0}"/>
    <hyperlink ref="K91" r:id="rId26" display="https://www.srbija.gov.rs/vest/en/150705/government-adopts-economic-migration-strategy.php" xr:uid="{D51F995B-E593-4250-90C6-AD47C38E66AF}"/>
    <hyperlink ref="K93" r:id="rId27" display="https://reliefweb.int/report/serbia/between-closed-borders-2020-21-joint-agency-paper-refugees-and-migrants-serbia-2020" xr:uid="{292055A9-AE88-4F1E-8413-9401171DE499}"/>
    <hyperlink ref="K94" r:id="rId28" display="https://balkaninsight.com/2020/03/17/serbia-restricts-movement-for-migrants-asylum-seekers" xr:uid="{1F42DBCF-D2E7-47F8-AA4B-A561B5F75BFB}"/>
    <hyperlink ref="K92" r:id="rId29" display="https://www.minrzs.gov.rs/sites/default/files/2021-02/ENG_%20Strategija%20ekonomske%20migracije%202021-2027-30_10%20%28002%29.pdf" xr:uid="{46B9E7A4-68EF-4443-9E57-4BE0BBAEC8F2}"/>
    <hyperlink ref="K102" r:id="rId30" display="https://home-affairs.ec.europa.eu/news/eu-signs-agreement-serbia-strengthen-collaboration-migration-and-border-management-2024-06-25_en" xr:uid="{7F3687CE-07E4-4301-8790-1FA59928FB25}"/>
    <hyperlink ref="K103" r:id="rId31" display="https://www.reuters.com/world/europe/slovak-pm-fico-says-fight-against-illegal-migration-an-absolute-priority-2024-10-22" xr:uid="{8DA62391-BABE-4E19-B4FC-74720FB6AAC5}"/>
    <hyperlink ref="K97" r:id="rId32" display="https://apnews.com/article/583b81ee9a539e3788fae7b5481284ac" xr:uid="{3A22A5F3-26D4-4863-BAB9-DC9485A358E3}"/>
    <hyperlink ref="K99" r:id="rId33" display="https://immigratetoserbia.com/streamlining-work-permits-and-residence-for-foreigners-in-serbia-recent-legislative-changes" xr:uid="{F5D82820-2C9D-4C1D-92EE-DECA46F4C82F}"/>
    <hyperlink ref="K86" r:id="rId34" display="https://kirs.gov.rs/eng/asylum/overview-of-activities-during-the-increased-influx-of-migrants" xr:uid="{41390218-C9E0-43FD-884B-CA80D7DC3185}"/>
    <hyperlink ref="K88" r:id="rId35" display="https://www.eeas.europa.eu/node/39881_en" xr:uid="{F035C327-41E4-4C42-A377-21E3A5E70013}"/>
    <hyperlink ref="K87" r:id="rId36" display="https://www.mena-researchcenter.org/new-migration-policy-on-the-balkans/" xr:uid="{3D9E543B-E0A7-451D-AC9B-51AB2A2C4FBF}"/>
    <hyperlink ref="K100" r:id="rId37" display="https://www.theguardian.com/global-development/2024/feb/22/videos-show-migrants-stripped-of-clothing-in-freezing-temperatures-at-serbian-border" xr:uid="{5F453EE3-29A3-47B2-A7E3-5C36FAD2101A}"/>
    <hyperlink ref="K98" r:id="rId38" display="https://ecre.org/balkan-route-increased-arrivals-in-serbia-amid-evictions-and-raids-croatia-slovenia-and-austria-introduce-internal-border-checks-to-curb-migration-migrants-report-being-treated-like-anima/" xr:uid="{A37569E9-BEA8-4162-B69C-57DFF78BDBB0}"/>
    <hyperlink ref="K84" r:id="rId39" display="https://www.aljazeera.com/news/2015/9/25/tensions-between-croatia-and-serbia-rise-over-refugees" xr:uid="{00251BB7-09BA-48AD-B0C4-74469EE3C5CA}"/>
    <hyperlink ref="K95" r:id="rId40" display="https://asylumineurope.org/reports/country/serbia/asylum-procedure/general/short-overview-asylum-procedure/" xr:uid="{80824DE5-DB07-492C-9B51-A5E5E4EA556F}"/>
    <hyperlink ref="K101" r:id="rId41" display="https://asylumineurope.org/reports/country/serbia/overview-main-changes-previous-report-update/" xr:uid="{92B35D8C-67CE-4248-BE12-3E4B522CB9A9}"/>
    <hyperlink ref="K96" r:id="rId42" display="https://home-affairs.ec.europa.eu/news/serbia-becomes-observer-country-european-migration-network-2023-03-16_en" xr:uid="{360D3A1B-E293-4A63-AC09-2D86358B0439}"/>
    <hyperlink ref="K104" r:id="rId43" display="https://www.srbija.gov.rs/vest/en/235342/serbia-a-key-partner-for-eu-in-managing-migration-flows.php" xr:uid="{CE30A4F2-EDE6-42D2-8432-562AC3FA4C2E}"/>
    <hyperlink ref="K105" r:id="rId44" display="https://cadenaser.com/nacional/2025/01/24/mas-de-300-organizaciones-sociales-europeas-denuncian-la-expulsion-de-activistas-de-serbia-cadena-ser/" xr:uid="{A09EE648-DFB1-418C-86A8-8026DD7776E1}"/>
    <hyperlink ref="K82" r:id="rId45" display="https://www.theguardian.com/world/2015/sep/15/hungary-strict-new-border-controls-crackdown-refugees-serbia" xr:uid="{09571C8B-FCF3-4DFE-95B9-74876E98B6AF}"/>
    <hyperlink ref="K107" r:id="rId46" display="https://www.osw.waw.pl/en/publikacje/analyses/2015-08-26/macedonia-and-migrant-crisis" xr:uid="{0FACCFD4-8EC8-41EF-A0DC-53AA6121AE4E}"/>
    <hyperlink ref="K106" r:id="rId47" display="https://www.osw.waw.pl/en/publikacje/analyses/2015-08-26/macedonia-and-migrant-crisis" xr:uid="{685AC7AD-FA96-4A29-B381-46AD6FDA45BB}"/>
    <hyperlink ref="K109" r:id="rId48" display="https://www.reuters.com/article/sustainability/police-migrants-clash-on-macedonia-border-soldiers-build-fence-idUSKBN0TH04L" xr:uid="{8D33770B-3218-435D-BDE8-56C7921B9337}"/>
    <hyperlink ref="K108" r:id="rId49" display="https://www.theguardian.com/world/2015/nov/23/stranded-migrants-sew-mouths-shut-in-protest-against-balkan-border-controls" xr:uid="{95F24F5A-89AC-47E2-82C3-13E0D990EA49}"/>
    <hyperlink ref="K114" r:id="rId50" display="https://northmacedonia.un.org/en/173666-new-resolution-migration-policy-2021-2025-was-adopted-parliament" xr:uid="{49CA9AAC-61D6-4E5A-A2C9-965B01DBE210}"/>
    <hyperlink ref="K115" r:id="rId51" display="https://www.consilium.europa.eu/en/press/press-releases/2022/10/13/border-management-council-decides-to-sign-agreement-with-north-macedonia-on-frontex-operational-cooperation" xr:uid="{5638AA67-AB07-4CBB-A690-5005F81AC245}"/>
    <hyperlink ref="K116" r:id="rId52" display="https://index.statelessness.eu/news/north-macedonia-takes-positive-step-towards-ending-statelessness?language=en" xr:uid="{B9C526BB-17A5-4F00-A90C-9EFD39128F4D}"/>
    <hyperlink ref="K111" r:id="rId53" display="https://www.globaldetentionproject.org/29-may-2020-macedonia" xr:uid="{BE7A3E41-CE71-47C4-BFB3-C0E8D2D65296}"/>
    <hyperlink ref="K113" r:id="rId54" display="https://euaa.europa.eu/sites/default/files/2022-02/MK_RM_Cover.pd" xr:uid="{F53F447B-D82E-413F-831E-9643655A11CC}"/>
    <hyperlink ref="K112" r:id="rId55" display="https://north-macedonia.iom.int/sites/g/files/tmzbdl2301/files/documents/2023-02/IOM%20Country%20Strategy%20for%20North%20Macedonia%202022-2025.pdf" xr:uid="{1D3855E1-4DF0-4D6D-BCFD-0EAF70BCC13E}"/>
    <hyperlink ref="K110" r:id="rId56" display="https://www.refworld.org/legal/decreees/natlegbod/2018/en/121462" xr:uid="{75368B85-2673-49E3-8D61-965DDE33523D}"/>
    <hyperlink ref="K117" r:id="rId57" display="http://arhiva.skupstina.me/images/dokumenti/biblioteka-i-istrazivanje/2017/17.pdf" xr:uid="{8B3DAC3F-FAA9-4810-A9ED-49C90E68BF11}"/>
    <hyperlink ref="K119" r:id="rId58" display="https://www.coe.int/en/web/migration-and-refugees/-/montenegro-law-on-foreigners" xr:uid="{FCC19170-B827-4329-AA19-5B9C8167B4E8}"/>
    <hyperlink ref="K121" r:id="rId59" display="https://enlargement.ec.europa.eu/news/border-management-eu-signs-status-agreement-montenegro-2023-05-16_en" xr:uid="{F3E1297E-1747-48B6-A220-4F8BB75B03BC}"/>
    <hyperlink ref="K120" r:id="rId60" display="https://www.gov.me/en/documents/15ef985b-eddb-4a41-a58a-63fee7e8455c" xr:uid="{18ABE61F-6617-418F-90BA-A1547098DB14}"/>
    <hyperlink ref="K118" r:id="rId61" display="https://www.refworld.org/legal/legislation/natlegbod/2016/en/104945" xr:uid="{50CA2953-BA58-455C-82B9-2AA6EF88F27F}"/>
    <hyperlink ref="K124" r:id="rId62" display="https://albania.iom.int/resources/national-strategy-migration-and-action-plan-2019-2022" xr:uid="{C6295BD3-047B-45E1-8810-2453FB8966B9}"/>
    <hyperlink ref="K125" r:id="rId63" display="https://www.refworld.org/legal/legislation/natlegbod/2020/en/123407" xr:uid="{7D998AD2-3FB0-4F9D-9CF3-CE50E90B9A10}"/>
    <hyperlink ref="K126" r:id="rId64" display="https://www.refworld.org/legal/legislation/natlegbod/2021/en/123556" xr:uid="{80C55612-1A6B-4B80-9877-48E372B9D761}"/>
    <hyperlink ref="K127" r:id="rId65" display="https://www.eumonitor.eu/9353000/1/j4nvhdfdk3hydzq_j9vvik7m1c3gyxp/vmizb35vhqy3" xr:uid="{C9A85AB2-D86E-4DDC-A27B-94632350B6BF}"/>
    <hyperlink ref="K129" r:id="rId66" display="https://www.theguardian.com/world/2024/oct/11/italy-migration-centres-open-albania-controversial-deal" xr:uid="{34AECA54-466F-4944-B521-6416D7323ECE}"/>
    <hyperlink ref="K128" r:id="rId67" display="https://apnews.com/article/albania-britain-illegal-migration-19e335a01efd7463072da5e8823e3c20" xr:uid="{D624D69B-3429-471B-929B-A7284686D956}"/>
    <hyperlink ref="K122" r:id="rId68" display="https://mb.gov.al/wp-content/uploads/2024/10/EN-_Profili_i_Migracionit_2015-2.pdf" xr:uid="{85043832-EE36-4BC4-ABF4-5B0BAB19F29F}"/>
    <hyperlink ref="K123" r:id="rId69" display="https://www.mondaq.com/work-visas/525182/legal-news-august-2016" xr:uid="{170ADA11-0424-413D-AE78-120B31EE9234}"/>
    <hyperlink ref="K131" r:id="rId70" display="https://www.ecoi.net/en/file/local/2044747/601aaf494.pdf" xr:uid="{A44C775F-3CBF-4D6C-AC9C-FBF5853881C4}"/>
    <hyperlink ref="K130" r:id="rId71" display="https://www.kuvendikosoves.org/eng/european-union-integration-process/" xr:uid="{9E4E094B-FDE2-4632-AD07-6796A789AF83}"/>
    <hyperlink ref="K132" r:id="rId72" display="https://gzk.rks-gov.net/ActDetail.aspx?ActID=16389" xr:uid="{ED72562F-4391-4D00-9D42-5FD121E0E595}"/>
    <hyperlink ref="K134" r:id="rId73" display="https://mpb.rks-gov.net/Uploads/Documents/Pdf/EN/378/Strategy-on-Migration-2021-2025-anglisht.pdf" xr:uid="{086F4927-D27D-4213-B394-E19E06536CF5}"/>
    <hyperlink ref="K133" r:id="rId74" display="https://www.refworld.org/legal/legislation/natlegbod/2019/en/123452?prevPage=/node/123452" xr:uid="{E59E3700-23B2-4317-B2E0-E5C38F17E9BF}"/>
    <hyperlink ref="P2" r:id="rId75" xr:uid="{179CD546-7CED-4732-84BF-47F48727AC45}"/>
    <hyperlink ref="P3" r:id="rId76" xr:uid="{DBD40422-1591-4265-9F3D-8CCB110C3093}"/>
    <hyperlink ref="P4" r:id="rId77" xr:uid="{FC7CBE78-F4DA-426B-BBCE-58C6605ED254}"/>
    <hyperlink ref="P5" r:id="rId78" xr:uid="{34B9A3C1-2C1F-4B62-9304-A83AED173485}"/>
    <hyperlink ref="P6" r:id="rId79" xr:uid="{343C4796-2FA1-4020-B12C-B770E219DEA0}"/>
    <hyperlink ref="P7" r:id="rId80" xr:uid="{A53A9CC9-20BA-44C3-8361-F281819E1C52}"/>
    <hyperlink ref="P8" r:id="rId81" xr:uid="{2FEECD01-8F54-4180-99FC-010875F80642}"/>
    <hyperlink ref="P9" r:id="rId82" xr:uid="{221002F0-3B3B-4BDD-BBB4-9EAEA36F52E3}"/>
    <hyperlink ref="P10" r:id="rId83" xr:uid="{3E4ED891-AF79-47C0-9C53-5D43FCA08A14}"/>
    <hyperlink ref="P12" r:id="rId84" xr:uid="{0AF0150B-5327-4993-A211-EC0C0C4C22D0}"/>
    <hyperlink ref="P13" r:id="rId85" xr:uid="{211BED74-FAF9-42C6-9950-7019E06EABA8}"/>
    <hyperlink ref="P14" r:id="rId86" xr:uid="{EA4E2D42-D3D4-4A88-B2E1-7CD1BF9E8689}"/>
    <hyperlink ref="P16" r:id="rId87" xr:uid="{F6166C19-6871-4438-93EF-2FEA31E3D4C6}"/>
    <hyperlink ref="P11" r:id="rId88" xr:uid="{812FB40F-3FF3-4A92-ADC4-437115D1A6EE}"/>
    <hyperlink ref="P17" r:id="rId89" xr:uid="{6A2EC666-22D3-4B9F-ADE3-A62FBBA4B11F}"/>
    <hyperlink ref="P18" r:id="rId90" xr:uid="{DC2D95E4-EAF3-486D-84E9-5CD84AF11B42}"/>
    <hyperlink ref="P19" r:id="rId91" xr:uid="{4663EC7E-7447-4808-B173-A48B13BC1650}"/>
    <hyperlink ref="P21" r:id="rId92" xr:uid="{B81F2341-54EE-4DAA-B64B-1DC37D7FF1A4}"/>
    <hyperlink ref="P22" r:id="rId93" xr:uid="{870C2599-3A76-4EA7-AE3C-416C75B76CD5}"/>
    <hyperlink ref="P24" r:id="rId94" xr:uid="{70F7F0B2-ECF9-432D-99C0-BF1D99BC109D}"/>
    <hyperlink ref="P25" r:id="rId95" xr:uid="{8A21CDF8-1B5E-4F68-A8CC-67E38E28E20A}"/>
    <hyperlink ref="P26" r:id="rId96" xr:uid="{99413890-F301-4B00-9779-D6FD04E61297}"/>
    <hyperlink ref="P27" r:id="rId97" xr:uid="{525992A5-B107-4003-95FE-6608CFE81028}"/>
    <hyperlink ref="P28" r:id="rId98" xr:uid="{492DE91C-9E04-44EA-B7A0-128410DE6989}"/>
    <hyperlink ref="P30" r:id="rId99" xr:uid="{BC067FA4-8EA8-4987-8A4A-4DBA1EDB23DA}"/>
    <hyperlink ref="P32" r:id="rId100" xr:uid="{DC0D7BA4-233A-4914-B6DC-58F243A96D93}"/>
    <hyperlink ref="P15" r:id="rId101" xr:uid="{F7B3820C-11DB-4C6A-BB3B-87F119BFBF65}"/>
    <hyperlink ref="P20" r:id="rId102" xr:uid="{54FEC693-7107-46B7-8BEB-2AE55A024995}"/>
    <hyperlink ref="P23" r:id="rId103" xr:uid="{7AA5A19A-E4FB-4281-BFD3-880BB5B69C55}"/>
    <hyperlink ref="P29" r:id="rId104" xr:uid="{57EE0CE3-72C5-49B7-84EA-C05902C5CF48}"/>
    <hyperlink ref="P31" r:id="rId105" xr:uid="{E0E153D2-B0C9-40DD-9D1B-93A4557E956A}"/>
    <hyperlink ref="P34" r:id="rId106" xr:uid="{33EC8338-97DD-46AF-AE98-33D7B9864520}"/>
    <hyperlink ref="P33" r:id="rId107" xr:uid="{F18D409D-A616-4136-9A84-372BAEE1263B}"/>
    <hyperlink ref="P35" r:id="rId108" xr:uid="{2518CF72-AE2D-46DC-A998-840FE92410F9}"/>
    <hyperlink ref="P37" r:id="rId109" xr:uid="{BAB908BE-C71A-4761-BCEA-019CBF6DB9BC}"/>
    <hyperlink ref="P38" r:id="rId110" xr:uid="{331A25EC-BC49-4F8A-B495-5715F7DD0A2F}"/>
    <hyperlink ref="P59" r:id="rId111" xr:uid="{E908011B-89ED-444B-B521-2ECF71C1259A}"/>
    <hyperlink ref="P39" r:id="rId112" xr:uid="{E50A1980-C2A9-4124-8228-9FE3B685A0FF}"/>
    <hyperlink ref="P40" r:id="rId113" xr:uid="{02C85230-C9F6-46B7-8E15-F5224A160D0B}"/>
    <hyperlink ref="P41" r:id="rId114" xr:uid="{2D6033A8-1DD6-48CC-893D-7DF92E314F97}"/>
    <hyperlink ref="P42" r:id="rId115" xr:uid="{AB1C5221-6811-477A-8A65-7205171C0BEE}"/>
    <hyperlink ref="P44" r:id="rId116" xr:uid="{5C66F174-1DC8-4A95-BD31-2291F79506B2}"/>
    <hyperlink ref="P43" r:id="rId117" xr:uid="{4D4E8A07-1BF1-44F4-8508-E5D08ADD841F}"/>
    <hyperlink ref="P48" r:id="rId118" xr:uid="{1F71A3C5-81BC-48D6-BC01-32326BDEF6A6}"/>
    <hyperlink ref="P50" r:id="rId119" xr:uid="{3C447BB6-8171-4BE1-AA4C-712375CABEF9}"/>
    <hyperlink ref="P49" r:id="rId120" xr:uid="{B69E29C4-7734-420F-B0CB-42F699839B0F}"/>
    <hyperlink ref="P54" r:id="rId121" xr:uid="{F75CB7D8-F475-43DC-9718-EC99581B0AFA}"/>
    <hyperlink ref="P55" r:id="rId122" xr:uid="{0DEFEBF1-792E-4E58-9798-32C2B26B8D40}"/>
    <hyperlink ref="P57" r:id="rId123" xr:uid="{E5DD2C5C-0DC0-4192-AFAC-8ED860FE4912}"/>
    <hyperlink ref="P58" r:id="rId124" xr:uid="{10651F4B-2246-4BF0-B9EB-BFF45DF8D441}"/>
    <hyperlink ref="P45" r:id="rId125" xr:uid="{0D90E28E-C078-457D-A745-8B6BF8B573D4}"/>
    <hyperlink ref="P52" r:id="rId126" xr:uid="{C17FC5DB-FABF-46D9-9D2B-E3336B596949}"/>
    <hyperlink ref="P46" r:id="rId127" location="{%22itemid%22:[%22001-213213%22]}" xr:uid="{18490025-3A5E-413F-AA68-42F4FEB33FF2}"/>
    <hyperlink ref="P51" r:id="rId128" location="{%22itemid%22:[%22001-222311%22]}" xr:uid="{BE470AD3-D6D8-4893-8358-2AA86B7B61C8}"/>
    <hyperlink ref="P36" r:id="rId129" xr:uid="{FF8D0159-32D3-46C6-B7B5-847F95EB8A62}"/>
    <hyperlink ref="P47" r:id="rId130" xr:uid="{49C6290A-EF5D-4001-8F7D-093FA56E246B}"/>
    <hyperlink ref="P53" r:id="rId131" xr:uid="{A3D868C9-0AE8-4F11-9F8F-EA5076CA3DC1}"/>
    <hyperlink ref="P56" r:id="rId132" xr:uid="{B3E918C8-0037-4B7E-82A4-076749035CBE}"/>
    <hyperlink ref="P136" r:id="rId133" xr:uid="{C6F5CA42-22C0-4E45-87D1-A3C7004A3FB4}"/>
    <hyperlink ref="P137" r:id="rId134" xr:uid="{08E9BEB9-1EC5-4140-833D-23CF2F6D6BE1}"/>
    <hyperlink ref="P139" r:id="rId135" xr:uid="{DC15DBC8-09E6-442F-BDA2-811177ABC67B}"/>
    <hyperlink ref="P140" r:id="rId136" xr:uid="{FE7690E4-7170-4B05-B2AE-DCE087F8CC26}"/>
    <hyperlink ref="P142" r:id="rId137" xr:uid="{3815A90B-37BB-4AB3-A715-CE0A122D49F3}"/>
    <hyperlink ref="P144" r:id="rId138" xr:uid="{1DE5D0B3-BF0D-4E07-800B-03B3DA4C94B1}"/>
    <hyperlink ref="P145" r:id="rId139" xr:uid="{6F77DB5F-4A92-418B-B160-CE5EF7539406}"/>
    <hyperlink ref="P143" r:id="rId140" xr:uid="{DF90B5F2-E8E1-4B7D-878D-B0FFC5338822}"/>
    <hyperlink ref="P147" r:id="rId141" xr:uid="{521806D4-63FC-449B-A306-8D003C56919B}"/>
    <hyperlink ref="P141" r:id="rId142" xr:uid="{4C35BDD5-6FC8-439D-900E-E2AB080D99B0}"/>
    <hyperlink ref="P135" r:id="rId143" xr:uid="{BE24F756-9CBE-4A6E-9E1F-A52BFD61E489}"/>
    <hyperlink ref="P138" r:id="rId144" xr:uid="{49E8EB57-6368-4D5C-84F5-C51661CAE6DF}"/>
    <hyperlink ref="P146" r:id="rId145" xr:uid="{76C2DA60-16D4-4A3C-90AE-AD359DEE4815}"/>
  </hyperlinks>
  <pageMargins left="0.7" right="0.7" top="0.75" bottom="0.75" header="0.3" footer="0.3"/>
  <ignoredErrors>
    <ignoredError sqref="F2 F3:F134 F135:F147" calculatedColumn="1"/>
  </ignoredErrors>
  <tableParts count="1">
    <tablePart r:id="rId146"/>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FC5BF-CCD2-4016-9D0B-A40562CCD9F5}">
  <dimension ref="A3:F42"/>
  <sheetViews>
    <sheetView workbookViewId="0">
      <selection activeCell="F24" sqref="F24"/>
    </sheetView>
  </sheetViews>
  <sheetFormatPr defaultRowHeight="14.4" x14ac:dyDescent="0.3"/>
  <cols>
    <col min="1" max="1" width="11" bestFit="1" customWidth="1"/>
    <col min="2" max="2" width="13.44140625" bestFit="1" customWidth="1"/>
    <col min="3" max="3" width="13.77734375" bestFit="1" customWidth="1"/>
    <col min="4" max="4" width="23.109375" bestFit="1" customWidth="1"/>
    <col min="5" max="5" width="19.77734375" bestFit="1" customWidth="1"/>
    <col min="6" max="7" width="10.77734375" bestFit="1" customWidth="1"/>
    <col min="8" max="12" width="5" bestFit="1" customWidth="1"/>
    <col min="13" max="13" width="10.77734375" bestFit="1" customWidth="1"/>
  </cols>
  <sheetData>
    <row r="3" spans="1:6" x14ac:dyDescent="0.3">
      <c r="A3" s="55" t="s">
        <v>321</v>
      </c>
      <c r="B3" s="55" t="s">
        <v>71</v>
      </c>
    </row>
    <row r="4" spans="1:6" x14ac:dyDescent="0.3">
      <c r="A4" s="55" t="s">
        <v>243</v>
      </c>
      <c r="B4" t="s">
        <v>120</v>
      </c>
      <c r="C4" t="s">
        <v>121</v>
      </c>
      <c r="D4" t="s">
        <v>122</v>
      </c>
      <c r="E4" t="s">
        <v>123</v>
      </c>
      <c r="F4" t="s">
        <v>309</v>
      </c>
    </row>
    <row r="5" spans="1:6" x14ac:dyDescent="0.3">
      <c r="A5" s="56" t="s">
        <v>310</v>
      </c>
      <c r="B5">
        <v>10</v>
      </c>
      <c r="C5">
        <v>7</v>
      </c>
      <c r="D5">
        <v>6</v>
      </c>
      <c r="E5">
        <v>3</v>
      </c>
      <c r="F5">
        <v>26</v>
      </c>
    </row>
    <row r="6" spans="1:6" x14ac:dyDescent="0.3">
      <c r="A6" s="56" t="s">
        <v>311</v>
      </c>
      <c r="B6">
        <v>6</v>
      </c>
      <c r="D6">
        <v>1</v>
      </c>
      <c r="E6">
        <v>13</v>
      </c>
      <c r="F6">
        <v>20</v>
      </c>
    </row>
    <row r="7" spans="1:6" x14ac:dyDescent="0.3">
      <c r="A7" s="56" t="s">
        <v>312</v>
      </c>
      <c r="E7">
        <v>4</v>
      </c>
      <c r="F7">
        <v>4</v>
      </c>
    </row>
    <row r="8" spans="1:6" x14ac:dyDescent="0.3">
      <c r="A8" s="56" t="s">
        <v>313</v>
      </c>
      <c r="B8">
        <v>3</v>
      </c>
      <c r="C8">
        <v>1</v>
      </c>
      <c r="D8">
        <v>3</v>
      </c>
      <c r="E8">
        <v>7</v>
      </c>
      <c r="F8">
        <v>14</v>
      </c>
    </row>
    <row r="9" spans="1:6" x14ac:dyDescent="0.3">
      <c r="A9" s="56" t="s">
        <v>314</v>
      </c>
      <c r="B9">
        <v>1</v>
      </c>
      <c r="C9">
        <v>1</v>
      </c>
      <c r="E9">
        <v>3</v>
      </c>
      <c r="F9">
        <v>5</v>
      </c>
    </row>
    <row r="10" spans="1:6" x14ac:dyDescent="0.3">
      <c r="A10" s="56" t="s">
        <v>315</v>
      </c>
      <c r="C10">
        <v>8</v>
      </c>
      <c r="D10">
        <v>1</v>
      </c>
      <c r="E10">
        <v>4</v>
      </c>
      <c r="F10">
        <v>13</v>
      </c>
    </row>
    <row r="11" spans="1:6" x14ac:dyDescent="0.3">
      <c r="A11" s="56" t="s">
        <v>316</v>
      </c>
      <c r="C11">
        <v>1</v>
      </c>
      <c r="D11">
        <v>2</v>
      </c>
      <c r="E11">
        <v>7</v>
      </c>
      <c r="F11">
        <v>10</v>
      </c>
    </row>
    <row r="12" spans="1:6" x14ac:dyDescent="0.3">
      <c r="A12" s="56" t="s">
        <v>317</v>
      </c>
      <c r="B12">
        <v>1</v>
      </c>
      <c r="C12">
        <v>1</v>
      </c>
      <c r="D12">
        <v>5</v>
      </c>
      <c r="E12">
        <v>4</v>
      </c>
      <c r="F12">
        <v>11</v>
      </c>
    </row>
    <row r="13" spans="1:6" x14ac:dyDescent="0.3">
      <c r="A13" s="56" t="s">
        <v>318</v>
      </c>
      <c r="B13">
        <v>2</v>
      </c>
      <c r="C13">
        <v>2</v>
      </c>
      <c r="D13">
        <v>9</v>
      </c>
      <c r="E13">
        <v>9</v>
      </c>
      <c r="F13">
        <v>22</v>
      </c>
    </row>
    <row r="14" spans="1:6" x14ac:dyDescent="0.3">
      <c r="A14" s="56" t="s">
        <v>319</v>
      </c>
      <c r="B14">
        <v>5</v>
      </c>
      <c r="C14">
        <v>3</v>
      </c>
      <c r="D14">
        <v>4</v>
      </c>
      <c r="E14">
        <v>4</v>
      </c>
      <c r="F14">
        <v>16</v>
      </c>
    </row>
    <row r="15" spans="1:6" x14ac:dyDescent="0.3">
      <c r="A15" s="56" t="s">
        <v>320</v>
      </c>
      <c r="C15">
        <v>1</v>
      </c>
      <c r="D15">
        <v>3</v>
      </c>
      <c r="E15">
        <v>1</v>
      </c>
      <c r="F15">
        <v>5</v>
      </c>
    </row>
    <row r="16" spans="1:6" x14ac:dyDescent="0.3">
      <c r="A16" s="56" t="s">
        <v>309</v>
      </c>
      <c r="B16">
        <v>28</v>
      </c>
      <c r="C16">
        <v>25</v>
      </c>
      <c r="D16">
        <v>34</v>
      </c>
      <c r="E16">
        <v>59</v>
      </c>
      <c r="F16">
        <v>146</v>
      </c>
    </row>
    <row r="30" spans="1:2" x14ac:dyDescent="0.3">
      <c r="A30" s="55" t="s">
        <v>243</v>
      </c>
      <c r="B30" t="s">
        <v>322</v>
      </c>
    </row>
    <row r="31" spans="1:2" x14ac:dyDescent="0.3">
      <c r="A31" s="56" t="s">
        <v>310</v>
      </c>
      <c r="B31">
        <v>3</v>
      </c>
    </row>
    <row r="32" spans="1:2" x14ac:dyDescent="0.3">
      <c r="A32" s="56" t="s">
        <v>311</v>
      </c>
      <c r="B32">
        <v>13</v>
      </c>
    </row>
    <row r="33" spans="1:2" x14ac:dyDescent="0.3">
      <c r="A33" s="56" t="s">
        <v>312</v>
      </c>
      <c r="B33">
        <v>2</v>
      </c>
    </row>
    <row r="34" spans="1:2" x14ac:dyDescent="0.3">
      <c r="A34" s="56" t="s">
        <v>313</v>
      </c>
      <c r="B34">
        <v>17</v>
      </c>
    </row>
    <row r="35" spans="1:2" x14ac:dyDescent="0.3">
      <c r="A35" s="56" t="s">
        <v>314</v>
      </c>
      <c r="B35">
        <v>1</v>
      </c>
    </row>
    <row r="36" spans="1:2" x14ac:dyDescent="0.3">
      <c r="A36" s="56" t="s">
        <v>315</v>
      </c>
      <c r="B36">
        <v>-7</v>
      </c>
    </row>
    <row r="37" spans="1:2" x14ac:dyDescent="0.3">
      <c r="A37" s="56" t="s">
        <v>316</v>
      </c>
      <c r="B37">
        <v>-2</v>
      </c>
    </row>
    <row r="38" spans="1:2" x14ac:dyDescent="0.3">
      <c r="A38" s="56" t="s">
        <v>317</v>
      </c>
      <c r="B38">
        <v>21</v>
      </c>
    </row>
    <row r="39" spans="1:2" x14ac:dyDescent="0.3">
      <c r="A39" s="56" t="s">
        <v>318</v>
      </c>
      <c r="B39">
        <v>23</v>
      </c>
    </row>
    <row r="40" spans="1:2" x14ac:dyDescent="0.3">
      <c r="A40" s="56" t="s">
        <v>319</v>
      </c>
      <c r="B40">
        <v>-5</v>
      </c>
    </row>
    <row r="41" spans="1:2" x14ac:dyDescent="0.3">
      <c r="A41" s="56" t="s">
        <v>320</v>
      </c>
      <c r="B41">
        <v>-1</v>
      </c>
    </row>
    <row r="42" spans="1:2" x14ac:dyDescent="0.3">
      <c r="A42" s="56" t="s">
        <v>309</v>
      </c>
      <c r="B42">
        <v>65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79E00-0D1A-4B77-8A2F-8FDB3EADC784}">
  <dimension ref="A1:P148"/>
  <sheetViews>
    <sheetView workbookViewId="0"/>
  </sheetViews>
  <sheetFormatPr defaultRowHeight="14.4" x14ac:dyDescent="0.3"/>
  <cols>
    <col min="1" max="1" width="9.5546875" bestFit="1" customWidth="1"/>
    <col min="2" max="2" width="32.6640625" bestFit="1" customWidth="1"/>
    <col min="3" max="3" width="34" customWidth="1"/>
    <col min="4" max="4" width="26.77734375" customWidth="1"/>
    <col min="5" max="5" width="38.88671875" bestFit="1" customWidth="1"/>
    <col min="6" max="7" width="27.6640625" bestFit="1" customWidth="1"/>
    <col min="8" max="9" width="30.21875" bestFit="1" customWidth="1"/>
    <col min="10" max="10" width="27.33203125" bestFit="1" customWidth="1"/>
    <col min="11" max="11" width="26.6640625" bestFit="1" customWidth="1"/>
    <col min="12" max="12" width="21.77734375" bestFit="1" customWidth="1"/>
    <col min="13" max="13" width="9.5546875" bestFit="1" customWidth="1"/>
    <col min="14" max="14" width="16" bestFit="1" customWidth="1"/>
    <col min="15" max="15" width="19.6640625" bestFit="1" customWidth="1"/>
  </cols>
  <sheetData>
    <row r="1" spans="1:9" x14ac:dyDescent="0.3">
      <c r="B1" s="57" t="s">
        <v>328</v>
      </c>
      <c r="C1" s="27"/>
      <c r="D1" s="57"/>
      <c r="F1" s="27" t="s">
        <v>357</v>
      </c>
      <c r="G1" s="27" t="s">
        <v>358</v>
      </c>
      <c r="H1" s="27" t="s">
        <v>359</v>
      </c>
      <c r="I1" s="27" t="s">
        <v>360</v>
      </c>
    </row>
    <row r="2" spans="1:9" x14ac:dyDescent="0.3">
      <c r="B2" s="57" t="s">
        <v>327</v>
      </c>
      <c r="F2" s="60" t="s">
        <v>361</v>
      </c>
      <c r="G2" s="59" t="s">
        <v>367</v>
      </c>
      <c r="H2" s="59" t="s">
        <v>371</v>
      </c>
      <c r="I2" s="59" t="s">
        <v>367</v>
      </c>
    </row>
    <row r="3" spans="1:9" x14ac:dyDescent="0.3">
      <c r="B3" s="57" t="s">
        <v>335</v>
      </c>
      <c r="F3" s="60" t="s">
        <v>362</v>
      </c>
      <c r="G3" s="59" t="s">
        <v>368</v>
      </c>
      <c r="H3" s="59" t="s">
        <v>372</v>
      </c>
      <c r="I3" s="59" t="s">
        <v>367</v>
      </c>
    </row>
    <row r="4" spans="1:9" x14ac:dyDescent="0.3">
      <c r="B4" s="57" t="s">
        <v>336</v>
      </c>
      <c r="F4" s="60" t="s">
        <v>363</v>
      </c>
      <c r="G4" s="59" t="s">
        <v>369</v>
      </c>
      <c r="H4" s="59" t="s">
        <v>347</v>
      </c>
      <c r="I4" s="59" t="s">
        <v>373</v>
      </c>
    </row>
    <row r="5" spans="1:9" x14ac:dyDescent="0.3">
      <c r="F5" s="60" t="s">
        <v>364</v>
      </c>
      <c r="G5" s="59" t="s">
        <v>368</v>
      </c>
      <c r="H5" s="59" t="s">
        <v>374</v>
      </c>
      <c r="I5" s="59" t="s">
        <v>367</v>
      </c>
    </row>
    <row r="6" spans="1:9" x14ac:dyDescent="0.3">
      <c r="B6" s="57" t="s">
        <v>337</v>
      </c>
      <c r="F6" s="60" t="s">
        <v>365</v>
      </c>
      <c r="G6" s="59" t="s">
        <v>370</v>
      </c>
      <c r="H6" s="59" t="s">
        <v>375</v>
      </c>
      <c r="I6" s="59" t="s">
        <v>367</v>
      </c>
    </row>
    <row r="7" spans="1:9" x14ac:dyDescent="0.3">
      <c r="B7" s="57" t="s">
        <v>338</v>
      </c>
      <c r="F7" s="60" t="s">
        <v>366</v>
      </c>
      <c r="G7" s="59" t="s">
        <v>368</v>
      </c>
      <c r="H7" s="59" t="s">
        <v>376</v>
      </c>
      <c r="I7" s="59" t="s">
        <v>367</v>
      </c>
    </row>
    <row r="8" spans="1:9" x14ac:dyDescent="0.3">
      <c r="B8" t="s">
        <v>339</v>
      </c>
      <c r="F8" t="s">
        <v>377</v>
      </c>
      <c r="G8" s="59" t="s">
        <v>367</v>
      </c>
      <c r="H8" s="59" t="s">
        <v>371</v>
      </c>
      <c r="I8" s="59" t="s">
        <v>367</v>
      </c>
    </row>
    <row r="9" spans="1:9" x14ac:dyDescent="0.3">
      <c r="B9" t="s">
        <v>340</v>
      </c>
      <c r="F9" t="s">
        <v>378</v>
      </c>
      <c r="G9" s="59" t="s">
        <v>368</v>
      </c>
      <c r="H9" s="59" t="s">
        <v>380</v>
      </c>
      <c r="I9" s="59" t="s">
        <v>367</v>
      </c>
    </row>
    <row r="10" spans="1:9" x14ac:dyDescent="0.3">
      <c r="F10" t="s">
        <v>379</v>
      </c>
      <c r="G10" s="59" t="s">
        <v>370</v>
      </c>
      <c r="H10" s="59" t="s">
        <v>381</v>
      </c>
      <c r="I10" s="59" t="s">
        <v>367</v>
      </c>
    </row>
    <row r="11" spans="1:9" x14ac:dyDescent="0.3">
      <c r="B11" s="57" t="s">
        <v>343</v>
      </c>
    </row>
    <row r="12" spans="1:9" x14ac:dyDescent="0.3">
      <c r="B12" s="57"/>
    </row>
    <row r="13" spans="1:9" x14ac:dyDescent="0.3">
      <c r="B13" s="57" t="s">
        <v>344</v>
      </c>
    </row>
    <row r="15" spans="1:9" x14ac:dyDescent="0.3">
      <c r="A15" s="27" t="s">
        <v>323</v>
      </c>
      <c r="B15" s="27"/>
      <c r="E15" s="27"/>
    </row>
    <row r="16" spans="1:9" x14ac:dyDescent="0.3">
      <c r="A16" s="27"/>
      <c r="E16" t="s">
        <v>347</v>
      </c>
    </row>
    <row r="17" spans="1:15" x14ac:dyDescent="0.3">
      <c r="A17" s="27" t="s">
        <v>324</v>
      </c>
      <c r="B17" s="27" t="s">
        <v>328</v>
      </c>
      <c r="C17" s="27" t="s">
        <v>327</v>
      </c>
      <c r="D17" s="27" t="s">
        <v>335</v>
      </c>
      <c r="E17" s="27" t="s">
        <v>346</v>
      </c>
      <c r="F17" s="27" t="s">
        <v>336</v>
      </c>
      <c r="G17" s="27" t="s">
        <v>337</v>
      </c>
      <c r="H17" s="27" t="s">
        <v>338</v>
      </c>
      <c r="I17" s="27" t="s">
        <v>341</v>
      </c>
      <c r="J17" s="27" t="s">
        <v>342</v>
      </c>
      <c r="K17" s="27" t="s">
        <v>343</v>
      </c>
      <c r="M17" s="27"/>
      <c r="N17" s="27"/>
      <c r="O17" s="27"/>
    </row>
    <row r="18" spans="1:15" x14ac:dyDescent="0.3">
      <c r="A18">
        <v>2015</v>
      </c>
      <c r="B18">
        <v>8.39</v>
      </c>
      <c r="C18">
        <v>0.89</v>
      </c>
      <c r="D18">
        <v>0.95</v>
      </c>
      <c r="E18">
        <f>Variables_Slovenia[[#This Row],[POLITICAL STABILITY INDEX]]/2.5*10</f>
        <v>3.8</v>
      </c>
      <c r="G18">
        <v>60.3</v>
      </c>
      <c r="H18">
        <v>7.57</v>
      </c>
      <c r="I18">
        <v>0.876</v>
      </c>
      <c r="J18">
        <v>0.80800000000000005</v>
      </c>
      <c r="K18">
        <v>79.45</v>
      </c>
    </row>
    <row r="19" spans="1:15" x14ac:dyDescent="0.3">
      <c r="A19">
        <v>2016</v>
      </c>
      <c r="B19">
        <v>8.35</v>
      </c>
      <c r="C19">
        <v>0.91</v>
      </c>
      <c r="D19">
        <v>0.98</v>
      </c>
      <c r="E19">
        <f>Variables_Slovenia[[#This Row],[POLITICAL STABILITY INDEX]]/2.5*10</f>
        <v>3.92</v>
      </c>
      <c r="F19">
        <v>0.95</v>
      </c>
      <c r="G19">
        <v>60.6</v>
      </c>
      <c r="H19">
        <v>7.51</v>
      </c>
      <c r="I19">
        <v>0.86299999999999999</v>
      </c>
      <c r="J19">
        <v>0.79600000000000004</v>
      </c>
      <c r="K19">
        <v>77.739999999999995</v>
      </c>
    </row>
    <row r="20" spans="1:15" x14ac:dyDescent="0.3">
      <c r="A20">
        <v>2017</v>
      </c>
      <c r="B20">
        <v>8.35</v>
      </c>
      <c r="C20">
        <v>0.86</v>
      </c>
      <c r="D20">
        <v>0.87</v>
      </c>
      <c r="E20">
        <f>Variables_Slovenia[[#This Row],[POLITICAL STABILITY INDEX]]/2.5*10</f>
        <v>3.4799999999999995</v>
      </c>
      <c r="F20">
        <v>0.95</v>
      </c>
      <c r="G20">
        <v>59.2</v>
      </c>
      <c r="H20">
        <v>7.5</v>
      </c>
      <c r="I20">
        <v>0.84099999999999997</v>
      </c>
      <c r="J20">
        <v>0.77300000000000002</v>
      </c>
      <c r="K20">
        <v>78.3</v>
      </c>
    </row>
    <row r="21" spans="1:15" x14ac:dyDescent="0.3">
      <c r="A21">
        <v>2018</v>
      </c>
      <c r="B21">
        <v>8.36</v>
      </c>
      <c r="C21">
        <v>0.85</v>
      </c>
      <c r="D21">
        <v>0.89</v>
      </c>
      <c r="E21">
        <f>Variables_Slovenia[[#This Row],[POLITICAL STABILITY INDEX]]/2.5*10</f>
        <v>3.5599999999999996</v>
      </c>
      <c r="F21">
        <v>0.95</v>
      </c>
      <c r="G21">
        <v>64.8</v>
      </c>
      <c r="H21">
        <v>7.5</v>
      </c>
      <c r="I21">
        <v>0.82899999999999996</v>
      </c>
      <c r="J21">
        <v>0.75800000000000001</v>
      </c>
      <c r="K21">
        <v>78.31</v>
      </c>
    </row>
    <row r="22" spans="1:15" x14ac:dyDescent="0.3">
      <c r="A22">
        <v>2019</v>
      </c>
      <c r="B22">
        <v>8.35</v>
      </c>
      <c r="C22">
        <v>0.87</v>
      </c>
      <c r="D22">
        <v>0.8</v>
      </c>
      <c r="E22">
        <f>Variables_Slovenia[[#This Row],[POLITICAL STABILITY INDEX]]/2.5*10</f>
        <v>3.2</v>
      </c>
      <c r="F22">
        <v>0.95</v>
      </c>
      <c r="G22">
        <v>65.5</v>
      </c>
      <c r="H22">
        <v>7.5</v>
      </c>
      <c r="I22">
        <v>0.81200000000000006</v>
      </c>
      <c r="J22">
        <v>0.74399999999999999</v>
      </c>
      <c r="K22">
        <v>77.69</v>
      </c>
    </row>
    <row r="23" spans="1:15" x14ac:dyDescent="0.3">
      <c r="A23">
        <v>2020</v>
      </c>
      <c r="B23">
        <v>7.93</v>
      </c>
      <c r="C23">
        <v>0.81</v>
      </c>
      <c r="D23">
        <v>0.7</v>
      </c>
      <c r="E23">
        <f>Variables_Slovenia[[#This Row],[POLITICAL STABILITY INDEX]]/2.5*10</f>
        <v>2.8</v>
      </c>
      <c r="F23">
        <v>0.91</v>
      </c>
      <c r="G23">
        <v>67.8</v>
      </c>
      <c r="H23">
        <v>7.54</v>
      </c>
      <c r="I23">
        <v>0.754</v>
      </c>
      <c r="J23">
        <v>0.66800000000000004</v>
      </c>
      <c r="K23">
        <v>77.36</v>
      </c>
    </row>
    <row r="24" spans="1:15" x14ac:dyDescent="0.3">
      <c r="A24">
        <v>2021</v>
      </c>
      <c r="B24">
        <v>7.91</v>
      </c>
      <c r="C24">
        <v>0.8</v>
      </c>
      <c r="D24">
        <v>0.76</v>
      </c>
      <c r="E24">
        <f>Variables_Slovenia[[#This Row],[POLITICAL STABILITY INDEX]]/2.5*10</f>
        <v>3.04</v>
      </c>
      <c r="F24">
        <v>0.88</v>
      </c>
      <c r="G24">
        <v>68.3</v>
      </c>
      <c r="H24">
        <v>7.54</v>
      </c>
      <c r="I24">
        <v>0.71599999999999997</v>
      </c>
      <c r="J24">
        <v>0.624</v>
      </c>
      <c r="K24">
        <v>76.900000000000006</v>
      </c>
    </row>
    <row r="25" spans="1:15" x14ac:dyDescent="0.3">
      <c r="A25">
        <v>2022</v>
      </c>
      <c r="B25">
        <v>8.26</v>
      </c>
      <c r="C25">
        <v>0.82</v>
      </c>
      <c r="D25">
        <v>0.71</v>
      </c>
      <c r="E25">
        <f>Variables_Slovenia[[#This Row],[POLITICAL STABILITY INDEX]]/2.5*10</f>
        <v>2.84</v>
      </c>
      <c r="F25">
        <v>0.93</v>
      </c>
      <c r="G25">
        <v>70.5</v>
      </c>
      <c r="H25">
        <v>7.75</v>
      </c>
      <c r="I25">
        <v>0.81200000000000006</v>
      </c>
      <c r="J25">
        <v>0.73</v>
      </c>
      <c r="K25">
        <v>68.540000000000006</v>
      </c>
    </row>
    <row r="26" spans="1:15" x14ac:dyDescent="0.3">
      <c r="A26">
        <v>2023</v>
      </c>
      <c r="B26">
        <v>7.9</v>
      </c>
      <c r="C26">
        <v>0.91</v>
      </c>
      <c r="D26">
        <v>0.82</v>
      </c>
      <c r="E26">
        <f>Variables_Slovenia[[#This Row],[POLITICAL STABILITY INDEX]]/2.5*10</f>
        <v>3.2799999999999994</v>
      </c>
      <c r="F26">
        <v>0.94</v>
      </c>
      <c r="G26">
        <v>68.5</v>
      </c>
      <c r="H26">
        <v>7.75</v>
      </c>
      <c r="I26">
        <v>0.75700000000000001</v>
      </c>
      <c r="J26">
        <v>0.65500000000000003</v>
      </c>
      <c r="K26">
        <v>70.59</v>
      </c>
    </row>
    <row r="27" spans="1:15" x14ac:dyDescent="0.3">
      <c r="A27">
        <v>2024</v>
      </c>
      <c r="B27">
        <v>8.26</v>
      </c>
      <c r="C27">
        <v>0.91</v>
      </c>
      <c r="G27">
        <v>65.900000000000006</v>
      </c>
      <c r="H27">
        <v>7.82</v>
      </c>
      <c r="I27">
        <v>0.71599999999999997</v>
      </c>
      <c r="J27">
        <v>0.61899999999999999</v>
      </c>
      <c r="K27">
        <v>72.599999999999994</v>
      </c>
    </row>
    <row r="28" spans="1:15" x14ac:dyDescent="0.3">
      <c r="A28">
        <v>2025</v>
      </c>
      <c r="G28">
        <v>68.3</v>
      </c>
      <c r="K28">
        <v>74.06</v>
      </c>
    </row>
    <row r="30" spans="1:15" x14ac:dyDescent="0.3">
      <c r="A30" s="27" t="s">
        <v>325</v>
      </c>
    </row>
    <row r="32" spans="1:15" x14ac:dyDescent="0.3">
      <c r="A32" s="27" t="s">
        <v>324</v>
      </c>
      <c r="B32" s="27" t="s">
        <v>328</v>
      </c>
      <c r="C32" s="27" t="s">
        <v>327</v>
      </c>
      <c r="D32" s="27" t="s">
        <v>335</v>
      </c>
      <c r="E32" s="27" t="s">
        <v>346</v>
      </c>
      <c r="F32" s="27" t="s">
        <v>336</v>
      </c>
      <c r="G32" s="27" t="s">
        <v>337</v>
      </c>
      <c r="H32" s="27" t="s">
        <v>338</v>
      </c>
      <c r="I32" s="27" t="s">
        <v>341</v>
      </c>
      <c r="J32" s="27" t="s">
        <v>342</v>
      </c>
      <c r="K32" s="27" t="s">
        <v>343</v>
      </c>
      <c r="M32" s="27"/>
      <c r="N32" s="27"/>
      <c r="O32" s="27"/>
    </row>
    <row r="33" spans="1:15" x14ac:dyDescent="0.3">
      <c r="A33">
        <v>2015</v>
      </c>
      <c r="B33">
        <v>8.19</v>
      </c>
      <c r="C33">
        <v>0.8</v>
      </c>
      <c r="D33">
        <v>0.59</v>
      </c>
      <c r="E33">
        <f>Variables_Croatia[[#This Row],[POLITICAL STABILITY INDEX]]/2.5*10</f>
        <v>2.36</v>
      </c>
      <c r="G33">
        <v>61.5</v>
      </c>
      <c r="H33">
        <v>6.93</v>
      </c>
      <c r="I33">
        <v>0.81599999999999995</v>
      </c>
      <c r="J33">
        <v>0.70099999999999996</v>
      </c>
      <c r="K33">
        <v>73.88</v>
      </c>
    </row>
    <row r="34" spans="1:15" x14ac:dyDescent="0.3">
      <c r="A34">
        <v>2016</v>
      </c>
      <c r="B34">
        <v>8.14</v>
      </c>
      <c r="C34">
        <v>0.71</v>
      </c>
      <c r="D34">
        <v>0.65</v>
      </c>
      <c r="E34">
        <f>Variables_Croatia[[#This Row],[POLITICAL STABILITY INDEX]]/2.5*10</f>
        <v>2.6</v>
      </c>
      <c r="F34">
        <v>0.86</v>
      </c>
      <c r="G34">
        <v>59.1</v>
      </c>
      <c r="H34">
        <v>6.75</v>
      </c>
      <c r="I34">
        <v>0.76400000000000001</v>
      </c>
      <c r="J34">
        <v>0.65300000000000002</v>
      </c>
      <c r="K34">
        <v>72.09</v>
      </c>
    </row>
    <row r="35" spans="1:15" x14ac:dyDescent="0.3">
      <c r="A35">
        <v>2017</v>
      </c>
      <c r="B35">
        <v>8.17</v>
      </c>
      <c r="C35">
        <v>0.74</v>
      </c>
      <c r="D35">
        <v>0.68</v>
      </c>
      <c r="E35">
        <f>Variables_Croatia[[#This Row],[POLITICAL STABILITY INDEX]]/2.5*10</f>
        <v>2.72</v>
      </c>
      <c r="F35">
        <v>0.85</v>
      </c>
      <c r="G35">
        <v>59.4</v>
      </c>
      <c r="H35">
        <v>6.63</v>
      </c>
      <c r="I35">
        <v>0.73899999999999999</v>
      </c>
      <c r="J35">
        <v>0.625</v>
      </c>
      <c r="K35">
        <v>70.41</v>
      </c>
    </row>
    <row r="36" spans="1:15" x14ac:dyDescent="0.3">
      <c r="A36">
        <v>2018</v>
      </c>
      <c r="B36">
        <v>8.15</v>
      </c>
      <c r="C36">
        <v>0.74</v>
      </c>
      <c r="D36">
        <v>0.79</v>
      </c>
      <c r="E36">
        <f>Variables_Croatia[[#This Row],[POLITICAL STABILITY INDEX]]/2.5*10</f>
        <v>3.16</v>
      </c>
      <c r="F36">
        <v>0.85</v>
      </c>
      <c r="G36">
        <v>61</v>
      </c>
      <c r="H36">
        <v>6.57</v>
      </c>
      <c r="I36">
        <v>0.73199999999999998</v>
      </c>
      <c r="J36">
        <v>0.61699999999999999</v>
      </c>
      <c r="K36">
        <v>71.06</v>
      </c>
    </row>
    <row r="37" spans="1:15" x14ac:dyDescent="0.3">
      <c r="A37">
        <v>2019</v>
      </c>
      <c r="B37">
        <v>8.1</v>
      </c>
      <c r="C37">
        <v>0.74</v>
      </c>
      <c r="D37">
        <v>0.69</v>
      </c>
      <c r="E37">
        <f>Variables_Croatia[[#This Row],[POLITICAL STABILITY INDEX]]/2.5*10</f>
        <v>2.76</v>
      </c>
      <c r="F37">
        <v>0.85</v>
      </c>
      <c r="G37">
        <v>61.4</v>
      </c>
      <c r="H37">
        <v>6.57</v>
      </c>
      <c r="I37">
        <v>0.74199999999999999</v>
      </c>
      <c r="J37">
        <v>0.624</v>
      </c>
      <c r="K37">
        <v>70.97</v>
      </c>
    </row>
    <row r="38" spans="1:15" x14ac:dyDescent="0.3">
      <c r="A38">
        <v>2020</v>
      </c>
      <c r="B38">
        <v>7.83</v>
      </c>
      <c r="C38">
        <v>0.71</v>
      </c>
      <c r="D38">
        <v>0.61</v>
      </c>
      <c r="E38">
        <f>Variables_Croatia[[#This Row],[POLITICAL STABILITY INDEX]]/2.5*10</f>
        <v>2.44</v>
      </c>
      <c r="F38">
        <v>0.88</v>
      </c>
      <c r="G38">
        <v>62.2</v>
      </c>
      <c r="H38">
        <v>6.5</v>
      </c>
      <c r="I38">
        <v>0.77300000000000002</v>
      </c>
      <c r="J38">
        <v>0.66</v>
      </c>
      <c r="K38">
        <v>71.489999999999995</v>
      </c>
    </row>
    <row r="39" spans="1:15" x14ac:dyDescent="0.3">
      <c r="A39">
        <v>2021</v>
      </c>
      <c r="B39">
        <v>7.91</v>
      </c>
      <c r="C39">
        <v>0.7</v>
      </c>
      <c r="D39">
        <v>0.62</v>
      </c>
      <c r="E39">
        <f>Variables_Croatia[[#This Row],[POLITICAL STABILITY INDEX]]/2.5*10</f>
        <v>2.48</v>
      </c>
      <c r="F39">
        <v>0.87</v>
      </c>
      <c r="G39">
        <v>63.6</v>
      </c>
      <c r="H39">
        <v>6.5</v>
      </c>
      <c r="I39">
        <v>0.76100000000000001</v>
      </c>
      <c r="J39">
        <v>0.65200000000000002</v>
      </c>
      <c r="K39">
        <v>72.05</v>
      </c>
    </row>
    <row r="40" spans="1:15" x14ac:dyDescent="0.3">
      <c r="A40">
        <v>2022</v>
      </c>
      <c r="B40">
        <v>8</v>
      </c>
      <c r="C40">
        <v>0.71</v>
      </c>
      <c r="D40">
        <v>0.67</v>
      </c>
      <c r="E40">
        <f>Variables_Croatia[[#This Row],[POLITICAL STABILITY INDEX]]/2.5*10</f>
        <v>2.68</v>
      </c>
      <c r="F40">
        <v>0.85</v>
      </c>
      <c r="G40">
        <v>67.599999999999994</v>
      </c>
      <c r="H40">
        <v>6.5</v>
      </c>
      <c r="I40">
        <v>0.74199999999999999</v>
      </c>
      <c r="J40">
        <v>0.65100000000000002</v>
      </c>
      <c r="K40">
        <v>70.42</v>
      </c>
    </row>
    <row r="41" spans="1:15" x14ac:dyDescent="0.3">
      <c r="A41">
        <v>2023</v>
      </c>
      <c r="B41">
        <v>7.96</v>
      </c>
      <c r="C41">
        <v>0.71</v>
      </c>
      <c r="D41">
        <v>0.6</v>
      </c>
      <c r="E41">
        <f>Variables_Croatia[[#This Row],[POLITICAL STABILITY INDEX]]/2.5*10</f>
        <v>2.4</v>
      </c>
      <c r="F41">
        <v>0.8</v>
      </c>
      <c r="G41">
        <v>66.400000000000006</v>
      </c>
      <c r="H41">
        <v>6.5</v>
      </c>
      <c r="I41">
        <v>0.74399999999999999</v>
      </c>
      <c r="J41">
        <v>0.64600000000000002</v>
      </c>
      <c r="K41">
        <v>71.95</v>
      </c>
    </row>
    <row r="42" spans="1:15" x14ac:dyDescent="0.3">
      <c r="A42">
        <v>2024</v>
      </c>
      <c r="B42">
        <v>8</v>
      </c>
      <c r="C42">
        <v>0.71</v>
      </c>
      <c r="G42">
        <v>67.2</v>
      </c>
      <c r="H42">
        <v>6.5</v>
      </c>
      <c r="I42">
        <v>0.72299999999999998</v>
      </c>
      <c r="J42">
        <v>0.61899999999999999</v>
      </c>
      <c r="K42">
        <v>68.790000000000006</v>
      </c>
    </row>
    <row r="43" spans="1:15" x14ac:dyDescent="0.3">
      <c r="A43">
        <v>2025</v>
      </c>
      <c r="G43">
        <v>68.7</v>
      </c>
      <c r="K43">
        <v>64.2</v>
      </c>
    </row>
    <row r="45" spans="1:15" x14ac:dyDescent="0.3">
      <c r="A45" s="27" t="s">
        <v>326</v>
      </c>
    </row>
    <row r="47" spans="1:15" x14ac:dyDescent="0.3">
      <c r="A47" s="27" t="s">
        <v>324</v>
      </c>
      <c r="B47" s="27" t="s">
        <v>328</v>
      </c>
      <c r="C47" s="27" t="s">
        <v>327</v>
      </c>
      <c r="D47" s="27" t="s">
        <v>335</v>
      </c>
      <c r="E47" s="27" t="s">
        <v>346</v>
      </c>
      <c r="F47" s="27" t="s">
        <v>336</v>
      </c>
      <c r="G47" s="27" t="s">
        <v>337</v>
      </c>
      <c r="H47" s="27" t="s">
        <v>338</v>
      </c>
      <c r="I47" s="27" t="s">
        <v>341</v>
      </c>
      <c r="J47" s="27" t="s">
        <v>342</v>
      </c>
      <c r="K47" s="27" t="s">
        <v>343</v>
      </c>
      <c r="M47" s="27"/>
      <c r="N47" s="27"/>
      <c r="O47" s="27"/>
    </row>
    <row r="48" spans="1:15" x14ac:dyDescent="0.3">
      <c r="A48">
        <v>2015</v>
      </c>
      <c r="B48">
        <v>7.4</v>
      </c>
      <c r="C48">
        <v>0.63</v>
      </c>
      <c r="D48">
        <v>-0.4</v>
      </c>
      <c r="E48">
        <f>Variables_Bosnia[[#This Row],[POLITICAL STABILITY INDEX]]/2.5*10</f>
        <v>-1.6</v>
      </c>
      <c r="G48">
        <v>59</v>
      </c>
      <c r="H48">
        <v>4.83</v>
      </c>
      <c r="I48">
        <v>0.54900000000000004</v>
      </c>
      <c r="J48">
        <v>0.36899999999999999</v>
      </c>
      <c r="K48">
        <v>72.489999999999995</v>
      </c>
    </row>
    <row r="49" spans="1:15" x14ac:dyDescent="0.3">
      <c r="A49">
        <v>2016</v>
      </c>
      <c r="B49">
        <v>7.41</v>
      </c>
      <c r="C49">
        <v>0.64</v>
      </c>
      <c r="D49">
        <v>-0.4</v>
      </c>
      <c r="E49">
        <f>Variables_Bosnia[[#This Row],[POLITICAL STABILITY INDEX]]/2.5*10</f>
        <v>-1.6</v>
      </c>
      <c r="F49">
        <v>0.73</v>
      </c>
      <c r="G49">
        <v>58.6</v>
      </c>
      <c r="H49">
        <v>4.87</v>
      </c>
      <c r="I49">
        <v>0.55400000000000005</v>
      </c>
      <c r="J49">
        <v>0.36399999999999999</v>
      </c>
      <c r="K49">
        <v>71.55</v>
      </c>
    </row>
    <row r="50" spans="1:15" x14ac:dyDescent="0.3">
      <c r="A50">
        <v>2017</v>
      </c>
      <c r="B50">
        <v>7.48</v>
      </c>
      <c r="C50">
        <v>0.64</v>
      </c>
      <c r="D50">
        <v>-0.35</v>
      </c>
      <c r="E50">
        <f>Variables_Bosnia[[#This Row],[POLITICAL STABILITY INDEX]]/2.5*10</f>
        <v>-1.4</v>
      </c>
      <c r="F50">
        <v>0.75</v>
      </c>
      <c r="G50">
        <v>60.2</v>
      </c>
      <c r="H50">
        <v>4.87</v>
      </c>
      <c r="I50">
        <v>0.54500000000000004</v>
      </c>
      <c r="J50">
        <v>0.36399999999999999</v>
      </c>
      <c r="K50">
        <v>72.17</v>
      </c>
    </row>
    <row r="51" spans="1:15" x14ac:dyDescent="0.3">
      <c r="A51">
        <v>2018</v>
      </c>
      <c r="B51">
        <v>7.44</v>
      </c>
      <c r="C51">
        <v>0.62</v>
      </c>
      <c r="D51">
        <v>-0.4</v>
      </c>
      <c r="E51">
        <f>Variables_Bosnia[[#This Row],[POLITICAL STABILITY INDEX]]/2.5*10</f>
        <v>-1.6</v>
      </c>
      <c r="F51">
        <v>0.75</v>
      </c>
      <c r="G51">
        <v>61.4</v>
      </c>
      <c r="H51">
        <v>4.9800000000000004</v>
      </c>
      <c r="I51">
        <v>0.51900000000000002</v>
      </c>
      <c r="J51">
        <v>0.34699999999999998</v>
      </c>
      <c r="K51">
        <v>72.63</v>
      </c>
    </row>
    <row r="52" spans="1:15" x14ac:dyDescent="0.3">
      <c r="A52">
        <v>2019</v>
      </c>
      <c r="B52">
        <v>7.43</v>
      </c>
      <c r="C52">
        <v>0.66</v>
      </c>
      <c r="D52">
        <v>-0.42</v>
      </c>
      <c r="E52">
        <f>Variables_Bosnia[[#This Row],[POLITICAL STABILITY INDEX]]/2.5*10</f>
        <v>-1.6799999999999997</v>
      </c>
      <c r="F52">
        <v>0.75</v>
      </c>
      <c r="G52">
        <v>61.9</v>
      </c>
      <c r="H52">
        <v>4.8600000000000003</v>
      </c>
      <c r="I52">
        <v>0.52400000000000002</v>
      </c>
      <c r="J52">
        <v>0.34699999999999998</v>
      </c>
      <c r="K52">
        <v>70.98</v>
      </c>
    </row>
    <row r="53" spans="1:15" x14ac:dyDescent="0.3">
      <c r="A53">
        <v>2020</v>
      </c>
      <c r="B53">
        <v>7.36</v>
      </c>
      <c r="C53">
        <v>0.68</v>
      </c>
      <c r="D53">
        <v>-0.45</v>
      </c>
      <c r="E53">
        <f>Variables_Bosnia[[#This Row],[POLITICAL STABILITY INDEX]]/2.5*10</f>
        <v>-1.7999999999999998</v>
      </c>
      <c r="F53">
        <v>0.73</v>
      </c>
      <c r="G53">
        <v>62.6</v>
      </c>
      <c r="H53">
        <v>4.84</v>
      </c>
      <c r="I53">
        <v>0.52400000000000002</v>
      </c>
      <c r="J53">
        <v>0.34</v>
      </c>
      <c r="K53">
        <v>71.489999999999995</v>
      </c>
    </row>
    <row r="54" spans="1:15" x14ac:dyDescent="0.3">
      <c r="A54">
        <v>2021</v>
      </c>
      <c r="B54">
        <v>7.24</v>
      </c>
      <c r="C54">
        <v>0.68</v>
      </c>
      <c r="D54">
        <v>-0.42</v>
      </c>
      <c r="E54">
        <f>Variables_Bosnia[[#This Row],[POLITICAL STABILITY INDEX]]/2.5*10</f>
        <v>-1.6799999999999997</v>
      </c>
      <c r="F54">
        <v>0.74</v>
      </c>
      <c r="G54">
        <v>62.9</v>
      </c>
      <c r="H54">
        <v>5.04</v>
      </c>
      <c r="I54">
        <v>0.51700000000000002</v>
      </c>
      <c r="J54">
        <v>0.33500000000000002</v>
      </c>
      <c r="K54">
        <v>71.66</v>
      </c>
    </row>
    <row r="55" spans="1:15" x14ac:dyDescent="0.3">
      <c r="A55">
        <v>2022</v>
      </c>
      <c r="B55">
        <v>7.15</v>
      </c>
      <c r="C55">
        <v>0.67</v>
      </c>
      <c r="D55">
        <v>-0.48</v>
      </c>
      <c r="E55">
        <f>Variables_Bosnia[[#This Row],[POLITICAL STABILITY INDEX]]/2.5*10</f>
        <v>-1.92</v>
      </c>
      <c r="F55">
        <v>0.76</v>
      </c>
      <c r="G55">
        <v>63.4</v>
      </c>
      <c r="H55">
        <v>5</v>
      </c>
      <c r="I55">
        <v>0.52100000000000002</v>
      </c>
      <c r="J55">
        <v>0.34399999999999997</v>
      </c>
      <c r="K55">
        <v>65.64</v>
      </c>
    </row>
    <row r="56" spans="1:15" x14ac:dyDescent="0.3">
      <c r="A56">
        <v>2023</v>
      </c>
      <c r="B56">
        <v>7.33</v>
      </c>
      <c r="C56">
        <v>0.67</v>
      </c>
      <c r="D56">
        <v>-0.35</v>
      </c>
      <c r="E56">
        <f>Variables_Bosnia[[#This Row],[POLITICAL STABILITY INDEX]]/2.5*10</f>
        <v>-1.4</v>
      </c>
      <c r="F56">
        <v>0.76</v>
      </c>
      <c r="G56">
        <v>62.9</v>
      </c>
      <c r="H56">
        <v>5</v>
      </c>
      <c r="I56">
        <v>0.504</v>
      </c>
      <c r="J56">
        <v>0.33700000000000002</v>
      </c>
      <c r="K56">
        <v>65.430000000000007</v>
      </c>
    </row>
    <row r="57" spans="1:15" x14ac:dyDescent="0.3">
      <c r="A57">
        <v>2024</v>
      </c>
      <c r="B57">
        <v>7.15</v>
      </c>
      <c r="C57">
        <v>0.65</v>
      </c>
      <c r="G57">
        <v>62</v>
      </c>
      <c r="H57">
        <v>5.0599999999999996</v>
      </c>
      <c r="I57">
        <v>0.50800000000000001</v>
      </c>
      <c r="J57">
        <v>0.34200000000000003</v>
      </c>
      <c r="K57">
        <v>58.85</v>
      </c>
    </row>
    <row r="58" spans="1:15" x14ac:dyDescent="0.3">
      <c r="A58">
        <v>2025</v>
      </c>
      <c r="G58">
        <v>63.5</v>
      </c>
      <c r="K58">
        <v>56.33</v>
      </c>
    </row>
    <row r="60" spans="1:15" x14ac:dyDescent="0.3">
      <c r="A60" s="27" t="s">
        <v>329</v>
      </c>
    </row>
    <row r="62" spans="1:15" x14ac:dyDescent="0.3">
      <c r="A62" s="27" t="s">
        <v>324</v>
      </c>
      <c r="B62" s="27" t="s">
        <v>328</v>
      </c>
      <c r="C62" s="27" t="s">
        <v>327</v>
      </c>
      <c r="D62" s="27" t="s">
        <v>335</v>
      </c>
      <c r="E62" s="27" t="s">
        <v>346</v>
      </c>
      <c r="F62" s="27" t="s">
        <v>336</v>
      </c>
      <c r="G62" s="27" t="s">
        <v>337</v>
      </c>
      <c r="H62" s="27" t="s">
        <v>338</v>
      </c>
      <c r="I62" s="27" t="s">
        <v>341</v>
      </c>
      <c r="J62" s="27" t="s">
        <v>342</v>
      </c>
      <c r="K62" s="27" t="s">
        <v>343</v>
      </c>
      <c r="M62" s="27"/>
      <c r="N62" s="27"/>
      <c r="O62" s="27"/>
    </row>
    <row r="63" spans="1:15" x14ac:dyDescent="0.3">
      <c r="A63">
        <v>2015</v>
      </c>
      <c r="B63">
        <v>7.52</v>
      </c>
      <c r="C63">
        <v>0.65</v>
      </c>
      <c r="D63">
        <v>0.23</v>
      </c>
      <c r="E63">
        <f>Variables_Serbia[[#This Row],[POLITICAL STABILITY INDEX]]/2.5*10</f>
        <v>0.91999999999999993</v>
      </c>
      <c r="G63">
        <v>60</v>
      </c>
      <c r="H63">
        <v>6.71</v>
      </c>
      <c r="I63">
        <v>0.433</v>
      </c>
      <c r="J63">
        <v>0.34599999999999997</v>
      </c>
      <c r="K63">
        <v>72.34</v>
      </c>
    </row>
    <row r="64" spans="1:15" x14ac:dyDescent="0.3">
      <c r="A64">
        <v>2016</v>
      </c>
      <c r="B64">
        <v>7.54</v>
      </c>
      <c r="C64">
        <v>0.67</v>
      </c>
      <c r="D64">
        <v>0.13</v>
      </c>
      <c r="E64">
        <f>Variables_Serbia[[#This Row],[POLITICAL STABILITY INDEX]]/2.5*10</f>
        <v>0.52</v>
      </c>
      <c r="F64">
        <v>0.82</v>
      </c>
      <c r="G64">
        <v>62.1</v>
      </c>
      <c r="H64">
        <v>6.57</v>
      </c>
      <c r="I64">
        <v>0.41499999999999998</v>
      </c>
      <c r="J64">
        <v>0.32200000000000001</v>
      </c>
      <c r="K64">
        <v>72.400000000000006</v>
      </c>
    </row>
    <row r="65" spans="1:15" x14ac:dyDescent="0.3">
      <c r="A65">
        <v>2017</v>
      </c>
      <c r="B65">
        <v>7.55</v>
      </c>
      <c r="C65">
        <v>0.56999999999999995</v>
      </c>
      <c r="D65">
        <v>0.08</v>
      </c>
      <c r="E65">
        <f>Variables_Serbia[[#This Row],[POLITICAL STABILITY INDEX]]/2.5*10</f>
        <v>0.32</v>
      </c>
      <c r="F65">
        <v>0.82</v>
      </c>
      <c r="G65">
        <v>58.9</v>
      </c>
      <c r="H65">
        <v>6.41</v>
      </c>
      <c r="I65">
        <v>0.378</v>
      </c>
      <c r="J65">
        <v>0.29199999999999998</v>
      </c>
      <c r="K65">
        <v>71.95</v>
      </c>
    </row>
    <row r="66" spans="1:15" x14ac:dyDescent="0.3">
      <c r="A66">
        <v>2018</v>
      </c>
      <c r="B66">
        <v>7.48</v>
      </c>
      <c r="C66">
        <v>0.56000000000000005</v>
      </c>
      <c r="D66">
        <v>0.01</v>
      </c>
      <c r="E66">
        <f>Variables_Serbia[[#This Row],[POLITICAL STABILITY INDEX]]/2.5*10</f>
        <v>0.04</v>
      </c>
      <c r="F66">
        <v>0.81</v>
      </c>
      <c r="G66">
        <v>62.5</v>
      </c>
      <c r="H66">
        <v>6.41</v>
      </c>
      <c r="I66">
        <v>0.36099999999999999</v>
      </c>
      <c r="J66">
        <v>0.28399999999999997</v>
      </c>
      <c r="K66">
        <v>70.42</v>
      </c>
    </row>
    <row r="67" spans="1:15" x14ac:dyDescent="0.3">
      <c r="A67">
        <v>2019</v>
      </c>
      <c r="B67">
        <v>7.48</v>
      </c>
      <c r="C67">
        <v>0.59</v>
      </c>
      <c r="D67">
        <v>-0.08</v>
      </c>
      <c r="E67">
        <f>Variables_Serbia[[#This Row],[POLITICAL STABILITY INDEX]]/2.5*10</f>
        <v>-0.32</v>
      </c>
      <c r="F67">
        <v>0.81</v>
      </c>
      <c r="G67">
        <v>63.9</v>
      </c>
      <c r="H67">
        <v>6.41</v>
      </c>
      <c r="I67">
        <v>0.36299999999999999</v>
      </c>
      <c r="J67">
        <v>0.27900000000000003</v>
      </c>
      <c r="K67">
        <v>68.819999999999993</v>
      </c>
    </row>
    <row r="68" spans="1:15" x14ac:dyDescent="0.3">
      <c r="A68">
        <v>2020</v>
      </c>
      <c r="B68">
        <v>7.18</v>
      </c>
      <c r="C68">
        <v>0.57999999999999996</v>
      </c>
      <c r="D68">
        <v>-0.17</v>
      </c>
      <c r="E68">
        <f>Variables_Serbia[[#This Row],[POLITICAL STABILITY INDEX]]/2.5*10</f>
        <v>-0.68</v>
      </c>
      <c r="F68">
        <v>0.81</v>
      </c>
      <c r="G68">
        <v>66</v>
      </c>
      <c r="H68">
        <v>6.22</v>
      </c>
      <c r="I68">
        <v>0.35099999999999998</v>
      </c>
      <c r="J68">
        <v>0.24199999999999999</v>
      </c>
      <c r="K68">
        <v>68.38</v>
      </c>
    </row>
    <row r="69" spans="1:15" x14ac:dyDescent="0.3">
      <c r="A69">
        <v>2021</v>
      </c>
      <c r="B69">
        <v>7.17</v>
      </c>
      <c r="C69">
        <v>0.57999999999999996</v>
      </c>
      <c r="D69">
        <v>-0.09</v>
      </c>
      <c r="E69">
        <f>Variables_Serbia[[#This Row],[POLITICAL STABILITY INDEX]]/2.5*10</f>
        <v>-0.36</v>
      </c>
      <c r="F69">
        <v>0.76</v>
      </c>
      <c r="G69">
        <v>67.2</v>
      </c>
      <c r="H69">
        <v>6.36</v>
      </c>
      <c r="I69">
        <v>0.33700000000000002</v>
      </c>
      <c r="J69">
        <v>0.23599999999999999</v>
      </c>
      <c r="K69">
        <v>67.97</v>
      </c>
    </row>
    <row r="70" spans="1:15" x14ac:dyDescent="0.3">
      <c r="A70">
        <v>2022</v>
      </c>
      <c r="B70">
        <v>7.08</v>
      </c>
      <c r="C70">
        <v>0.54</v>
      </c>
      <c r="D70">
        <v>-0.17</v>
      </c>
      <c r="E70">
        <f>Variables_Serbia[[#This Row],[POLITICAL STABILITY INDEX]]/2.5*10</f>
        <v>-0.68</v>
      </c>
      <c r="F70">
        <v>0.76</v>
      </c>
      <c r="G70">
        <v>65.2</v>
      </c>
      <c r="H70">
        <v>6.33</v>
      </c>
      <c r="I70">
        <v>0.35899999999999999</v>
      </c>
      <c r="J70">
        <v>0.26</v>
      </c>
      <c r="K70">
        <v>61.51</v>
      </c>
    </row>
    <row r="71" spans="1:15" x14ac:dyDescent="0.3">
      <c r="A71">
        <v>2023</v>
      </c>
      <c r="B71">
        <v>7.14</v>
      </c>
      <c r="C71">
        <v>0.52</v>
      </c>
      <c r="D71">
        <v>-0.04</v>
      </c>
      <c r="E71">
        <f>Variables_Serbia[[#This Row],[POLITICAL STABILITY INDEX]]/2.5*10</f>
        <v>-0.16</v>
      </c>
      <c r="F71">
        <v>0.76</v>
      </c>
      <c r="G71">
        <v>63.5</v>
      </c>
      <c r="H71">
        <v>6.33</v>
      </c>
      <c r="I71">
        <v>0.36</v>
      </c>
      <c r="J71">
        <v>0.247</v>
      </c>
      <c r="K71">
        <v>59.16</v>
      </c>
    </row>
    <row r="72" spans="1:15" x14ac:dyDescent="0.3">
      <c r="A72">
        <v>2024</v>
      </c>
      <c r="B72">
        <v>7.08</v>
      </c>
      <c r="C72">
        <v>0.53</v>
      </c>
      <c r="G72">
        <v>62.7</v>
      </c>
      <c r="H72">
        <v>6.26</v>
      </c>
      <c r="I72">
        <v>0.315</v>
      </c>
      <c r="J72">
        <v>0.22</v>
      </c>
      <c r="K72">
        <v>54.48</v>
      </c>
    </row>
    <row r="73" spans="1:15" x14ac:dyDescent="0.3">
      <c r="A73">
        <v>2025</v>
      </c>
      <c r="G73">
        <v>64.400000000000006</v>
      </c>
      <c r="K73">
        <v>53.55</v>
      </c>
    </row>
    <row r="75" spans="1:15" x14ac:dyDescent="0.3">
      <c r="A75" s="27" t="s">
        <v>330</v>
      </c>
    </row>
    <row r="77" spans="1:15" x14ac:dyDescent="0.3">
      <c r="A77" s="27" t="s">
        <v>324</v>
      </c>
      <c r="B77" s="27" t="s">
        <v>328</v>
      </c>
      <c r="C77" s="27" t="s">
        <v>327</v>
      </c>
      <c r="D77" s="27" t="s">
        <v>335</v>
      </c>
      <c r="E77" s="27" t="s">
        <v>346</v>
      </c>
      <c r="F77" s="27" t="s">
        <v>336</v>
      </c>
      <c r="G77" s="27" t="s">
        <v>337</v>
      </c>
      <c r="H77" s="27" t="s">
        <v>338</v>
      </c>
      <c r="I77" s="27" t="s">
        <v>341</v>
      </c>
      <c r="J77" s="27" t="s">
        <v>342</v>
      </c>
      <c r="K77" s="27" t="s">
        <v>343</v>
      </c>
      <c r="M77" s="27"/>
      <c r="N77" s="27"/>
      <c r="O77" s="27"/>
    </row>
    <row r="78" spans="1:15" x14ac:dyDescent="0.3">
      <c r="A78">
        <v>2015</v>
      </c>
      <c r="B78">
        <v>7.32</v>
      </c>
      <c r="C78">
        <v>0.62</v>
      </c>
      <c r="D78">
        <v>-0.28999999999999998</v>
      </c>
      <c r="E78">
        <f>Variables_Macedonia[[#This Row],[POLITICAL STABILITY INDEX]]/2.5*10</f>
        <v>-1.1599999999999999</v>
      </c>
      <c r="G78">
        <v>67.099999999999994</v>
      </c>
      <c r="H78">
        <v>6.02</v>
      </c>
      <c r="I78">
        <v>0.443</v>
      </c>
      <c r="J78">
        <v>0.26800000000000002</v>
      </c>
      <c r="K78">
        <v>63.74</v>
      </c>
    </row>
    <row r="79" spans="1:15" x14ac:dyDescent="0.3">
      <c r="A79">
        <v>2016</v>
      </c>
      <c r="B79">
        <v>7.28</v>
      </c>
      <c r="C79">
        <v>0.56000000000000005</v>
      </c>
      <c r="D79">
        <v>-0.36</v>
      </c>
      <c r="E79">
        <f>Variables_Macedonia[[#This Row],[POLITICAL STABILITY INDEX]]/2.5*10</f>
        <v>-1.44</v>
      </c>
      <c r="F79">
        <v>0.66</v>
      </c>
      <c r="G79">
        <v>67.5</v>
      </c>
      <c r="H79">
        <v>5.23</v>
      </c>
      <c r="I79">
        <v>0.45200000000000001</v>
      </c>
      <c r="J79">
        <v>0.27800000000000002</v>
      </c>
      <c r="K79">
        <v>63.91</v>
      </c>
    </row>
    <row r="80" spans="1:15" x14ac:dyDescent="0.3">
      <c r="A80">
        <v>2017</v>
      </c>
      <c r="B80">
        <v>7.55</v>
      </c>
      <c r="C80">
        <v>0.68</v>
      </c>
      <c r="D80">
        <v>-0.26</v>
      </c>
      <c r="E80">
        <f>Variables_Macedonia[[#This Row],[POLITICAL STABILITY INDEX]]/2.5*10</f>
        <v>-1.04</v>
      </c>
      <c r="F80">
        <v>0.85</v>
      </c>
      <c r="G80">
        <v>70.7</v>
      </c>
      <c r="H80">
        <v>5.57</v>
      </c>
      <c r="I80">
        <v>0.54900000000000004</v>
      </c>
      <c r="J80">
        <v>0.38300000000000001</v>
      </c>
      <c r="K80">
        <v>64.260000000000005</v>
      </c>
    </row>
    <row r="81" spans="1:16" x14ac:dyDescent="0.3">
      <c r="A81">
        <v>2018</v>
      </c>
      <c r="B81">
        <v>7.45</v>
      </c>
      <c r="C81">
        <v>0.66</v>
      </c>
      <c r="D81">
        <v>-0.21</v>
      </c>
      <c r="E81">
        <f>Variables_Macedonia[[#This Row],[POLITICAL STABILITY INDEX]]/2.5*10</f>
        <v>-0.83999999999999986</v>
      </c>
      <c r="F81">
        <v>0.85</v>
      </c>
      <c r="G81">
        <v>71.3</v>
      </c>
      <c r="H81">
        <v>5.87</v>
      </c>
      <c r="I81">
        <v>0.57399999999999995</v>
      </c>
      <c r="J81">
        <v>0.39</v>
      </c>
      <c r="K81">
        <v>67.569999999999993</v>
      </c>
    </row>
    <row r="82" spans="1:16" x14ac:dyDescent="0.3">
      <c r="A82">
        <v>2019</v>
      </c>
      <c r="B82">
        <v>7.64</v>
      </c>
      <c r="C82">
        <v>0.67</v>
      </c>
      <c r="D82">
        <v>0.01</v>
      </c>
      <c r="E82">
        <f>Variables_Macedonia[[#This Row],[POLITICAL STABILITY INDEX]]/2.5*10</f>
        <v>0.04</v>
      </c>
      <c r="F82">
        <v>0.85</v>
      </c>
      <c r="G82">
        <v>71.099999999999994</v>
      </c>
      <c r="H82">
        <v>5.97</v>
      </c>
      <c r="I82">
        <v>0.60599999999999998</v>
      </c>
      <c r="J82">
        <v>0.41399999999999998</v>
      </c>
      <c r="K82">
        <v>68.34</v>
      </c>
    </row>
    <row r="83" spans="1:16" x14ac:dyDescent="0.3">
      <c r="A83">
        <v>2020</v>
      </c>
      <c r="B83">
        <v>7.61</v>
      </c>
      <c r="C83">
        <v>0.66</v>
      </c>
      <c r="D83">
        <v>0.11</v>
      </c>
      <c r="E83">
        <f>Variables_Macedonia[[#This Row],[POLITICAL STABILITY INDEX]]/2.5*10</f>
        <v>0.43999999999999995</v>
      </c>
      <c r="F83">
        <v>0.85</v>
      </c>
      <c r="G83">
        <v>69.5</v>
      </c>
      <c r="H83">
        <v>5.89</v>
      </c>
      <c r="I83">
        <v>0.60099999999999998</v>
      </c>
      <c r="J83">
        <v>0.40400000000000003</v>
      </c>
      <c r="K83">
        <v>68.72</v>
      </c>
    </row>
    <row r="84" spans="1:16" x14ac:dyDescent="0.3">
      <c r="A84">
        <v>2021</v>
      </c>
      <c r="B84">
        <v>7.61</v>
      </c>
      <c r="C84">
        <v>0.67</v>
      </c>
      <c r="D84">
        <v>0.06</v>
      </c>
      <c r="E84">
        <f>Variables_Macedonia[[#This Row],[POLITICAL STABILITY INDEX]]/2.5*10</f>
        <v>0.24</v>
      </c>
      <c r="F84">
        <v>0.84</v>
      </c>
      <c r="G84">
        <v>68.599999999999994</v>
      </c>
      <c r="H84">
        <v>6.03</v>
      </c>
      <c r="I84">
        <v>0.58699999999999997</v>
      </c>
      <c r="J84">
        <v>0.38900000000000001</v>
      </c>
      <c r="K84">
        <v>68.33</v>
      </c>
    </row>
    <row r="85" spans="1:16" x14ac:dyDescent="0.3">
      <c r="A85">
        <v>2022</v>
      </c>
      <c r="B85">
        <v>7.61</v>
      </c>
      <c r="C85">
        <v>0.65</v>
      </c>
      <c r="D85">
        <v>0.18</v>
      </c>
      <c r="E85">
        <f>Variables_Macedonia[[#This Row],[POLITICAL STABILITY INDEX]]/2.5*10</f>
        <v>0.72</v>
      </c>
      <c r="F85">
        <v>0.82</v>
      </c>
      <c r="G85">
        <v>65.7</v>
      </c>
      <c r="H85">
        <v>6.1</v>
      </c>
      <c r="I85">
        <v>0.56200000000000006</v>
      </c>
      <c r="J85">
        <v>0.375</v>
      </c>
      <c r="K85">
        <v>68.44</v>
      </c>
    </row>
    <row r="86" spans="1:16" x14ac:dyDescent="0.3">
      <c r="A86">
        <v>2023</v>
      </c>
      <c r="B86">
        <v>7.64</v>
      </c>
      <c r="C86">
        <v>0.67</v>
      </c>
      <c r="D86">
        <v>0.17</v>
      </c>
      <c r="E86">
        <f>Variables_Macedonia[[#This Row],[POLITICAL STABILITY INDEX]]/2.5*10</f>
        <v>0.68</v>
      </c>
      <c r="F86">
        <v>0.78</v>
      </c>
      <c r="G86">
        <v>63.7</v>
      </c>
      <c r="H86">
        <v>6.03</v>
      </c>
      <c r="I86">
        <v>0.56799999999999995</v>
      </c>
      <c r="J86">
        <v>0.36599999999999999</v>
      </c>
      <c r="K86">
        <v>74.349999999999994</v>
      </c>
    </row>
    <row r="87" spans="1:16" x14ac:dyDescent="0.3">
      <c r="A87">
        <v>2024</v>
      </c>
      <c r="B87">
        <v>7.61</v>
      </c>
      <c r="C87">
        <v>0.6</v>
      </c>
      <c r="G87">
        <v>61.4</v>
      </c>
      <c r="H87">
        <v>6.28</v>
      </c>
      <c r="I87">
        <v>0.56299999999999994</v>
      </c>
      <c r="J87">
        <v>0.374</v>
      </c>
      <c r="K87">
        <v>73.78</v>
      </c>
    </row>
    <row r="88" spans="1:16" x14ac:dyDescent="0.3">
      <c r="A88">
        <v>2025</v>
      </c>
      <c r="G88">
        <v>63.2</v>
      </c>
      <c r="K88">
        <v>70.44</v>
      </c>
    </row>
    <row r="90" spans="1:16" x14ac:dyDescent="0.3">
      <c r="A90" s="27" t="s">
        <v>331</v>
      </c>
    </row>
    <row r="92" spans="1:16" x14ac:dyDescent="0.3">
      <c r="A92" s="27" t="s">
        <v>324</v>
      </c>
      <c r="B92" s="27" t="s">
        <v>328</v>
      </c>
      <c r="C92" s="27" t="s">
        <v>327</v>
      </c>
      <c r="D92" s="27" t="s">
        <v>335</v>
      </c>
      <c r="E92" s="27" t="s">
        <v>346</v>
      </c>
      <c r="F92" s="27" t="s">
        <v>336</v>
      </c>
      <c r="G92" s="27" t="s">
        <v>337</v>
      </c>
      <c r="H92" s="27" t="s">
        <v>338</v>
      </c>
      <c r="I92" s="27" t="s">
        <v>341</v>
      </c>
      <c r="J92" s="27" t="s">
        <v>342</v>
      </c>
      <c r="K92" s="27" t="s">
        <v>343</v>
      </c>
      <c r="M92" s="27"/>
      <c r="N92" s="27"/>
      <c r="O92" s="27"/>
      <c r="P92" s="27"/>
    </row>
    <row r="93" spans="1:16" x14ac:dyDescent="0.3">
      <c r="A93">
        <v>2015</v>
      </c>
      <c r="B93">
        <v>7.89</v>
      </c>
      <c r="C93">
        <v>0.56999999999999995</v>
      </c>
      <c r="D93">
        <v>0.74</v>
      </c>
      <c r="E93">
        <f>Variables_Hungary[[#This Row],[POLITICAL STABILITY INDEX]]/2.5*10</f>
        <v>2.96</v>
      </c>
      <c r="G93">
        <v>66.8</v>
      </c>
      <c r="H93">
        <v>6.84</v>
      </c>
      <c r="I93">
        <v>0.61599999999999999</v>
      </c>
      <c r="J93">
        <v>0.47799999999999998</v>
      </c>
      <c r="K93">
        <v>72.56</v>
      </c>
    </row>
    <row r="94" spans="1:16" x14ac:dyDescent="0.3">
      <c r="A94">
        <v>2016</v>
      </c>
      <c r="B94">
        <v>7.94</v>
      </c>
      <c r="C94">
        <v>0.57999999999999996</v>
      </c>
      <c r="D94">
        <v>0.64</v>
      </c>
      <c r="E94">
        <f>Variables_Hungary[[#This Row],[POLITICAL STABILITY INDEX]]/2.5*10</f>
        <v>2.56</v>
      </c>
      <c r="F94">
        <v>0.53</v>
      </c>
      <c r="G94">
        <v>66</v>
      </c>
      <c r="H94">
        <v>6.72</v>
      </c>
      <c r="I94">
        <v>0.60699999999999998</v>
      </c>
      <c r="J94">
        <v>0.47099999999999997</v>
      </c>
      <c r="K94">
        <v>71.83</v>
      </c>
    </row>
    <row r="95" spans="1:16" x14ac:dyDescent="0.3">
      <c r="A95">
        <v>2017</v>
      </c>
      <c r="B95">
        <v>7.74</v>
      </c>
      <c r="C95">
        <v>0.57999999999999996</v>
      </c>
      <c r="D95">
        <v>0.8</v>
      </c>
      <c r="E95">
        <f>Variables_Hungary[[#This Row],[POLITICAL STABILITY INDEX]]/2.5*10</f>
        <v>3.2</v>
      </c>
      <c r="F95">
        <v>0.49</v>
      </c>
      <c r="G95">
        <v>65.8</v>
      </c>
      <c r="H95">
        <v>6.64</v>
      </c>
      <c r="I95">
        <v>0.55900000000000005</v>
      </c>
      <c r="J95">
        <v>0.435</v>
      </c>
      <c r="K95">
        <v>70.989999999999995</v>
      </c>
    </row>
    <row r="96" spans="1:16" x14ac:dyDescent="0.3">
      <c r="A96">
        <v>2018</v>
      </c>
      <c r="B96">
        <v>7.66</v>
      </c>
      <c r="C96">
        <v>0.56000000000000005</v>
      </c>
      <c r="D96">
        <v>0.74</v>
      </c>
      <c r="E96">
        <f>Variables_Hungary[[#This Row],[POLITICAL STABILITY INDEX]]/2.5*10</f>
        <v>2.96</v>
      </c>
      <c r="F96">
        <v>0.45</v>
      </c>
      <c r="G96">
        <v>66.7</v>
      </c>
      <c r="H96">
        <v>6.63</v>
      </c>
      <c r="I96">
        <v>0.48299999999999998</v>
      </c>
      <c r="J96">
        <v>0.373</v>
      </c>
      <c r="K96">
        <v>70.89</v>
      </c>
    </row>
    <row r="97" spans="1:15" x14ac:dyDescent="0.3">
      <c r="A97">
        <v>2019</v>
      </c>
      <c r="B97">
        <v>7.62</v>
      </c>
      <c r="C97">
        <v>0.56000000000000005</v>
      </c>
      <c r="D97">
        <v>0.76</v>
      </c>
      <c r="E97">
        <f>Variables_Hungary[[#This Row],[POLITICAL STABILITY INDEX]]/2.5*10</f>
        <v>3.04</v>
      </c>
      <c r="F97">
        <v>0.43</v>
      </c>
      <c r="G97">
        <v>65</v>
      </c>
      <c r="H97">
        <v>6.63</v>
      </c>
      <c r="I97">
        <v>0.47099999999999997</v>
      </c>
      <c r="J97">
        <v>0.36399999999999999</v>
      </c>
      <c r="K97">
        <v>69.56</v>
      </c>
    </row>
    <row r="98" spans="1:15" x14ac:dyDescent="0.3">
      <c r="A98">
        <v>2020</v>
      </c>
      <c r="B98">
        <v>7.22</v>
      </c>
      <c r="C98">
        <v>0.56000000000000005</v>
      </c>
      <c r="D98">
        <v>0.84</v>
      </c>
      <c r="E98">
        <f>Variables_Hungary[[#This Row],[POLITICAL STABILITY INDEX]]/2.5*10</f>
        <v>3.3599999999999994</v>
      </c>
      <c r="F98">
        <v>0.4</v>
      </c>
      <c r="G98">
        <v>66.400000000000006</v>
      </c>
      <c r="H98">
        <v>6.56</v>
      </c>
      <c r="I98">
        <v>0.46800000000000003</v>
      </c>
      <c r="J98">
        <v>0.35799999999999998</v>
      </c>
      <c r="K98">
        <v>69.16</v>
      </c>
    </row>
    <row r="99" spans="1:15" x14ac:dyDescent="0.3">
      <c r="A99">
        <v>2021</v>
      </c>
      <c r="B99">
        <v>7.24</v>
      </c>
      <c r="C99">
        <v>0.56000000000000005</v>
      </c>
      <c r="D99">
        <v>0.8</v>
      </c>
      <c r="E99">
        <f>Variables_Hungary[[#This Row],[POLITICAL STABILITY INDEX]]/2.5*10</f>
        <v>3.2</v>
      </c>
      <c r="F99">
        <v>0.37</v>
      </c>
      <c r="G99">
        <v>67.2</v>
      </c>
      <c r="H99">
        <v>6.5</v>
      </c>
      <c r="I99">
        <v>0.45200000000000001</v>
      </c>
      <c r="J99">
        <v>0.34499999999999997</v>
      </c>
      <c r="K99">
        <v>68.239999999999995</v>
      </c>
    </row>
    <row r="100" spans="1:15" x14ac:dyDescent="0.3">
      <c r="A100">
        <v>2022</v>
      </c>
      <c r="B100">
        <v>7.44</v>
      </c>
      <c r="C100">
        <v>0.55000000000000004</v>
      </c>
      <c r="D100">
        <v>0.68</v>
      </c>
      <c r="E100">
        <f>Variables_Hungary[[#This Row],[POLITICAL STABILITY INDEX]]/2.5*10</f>
        <v>2.72</v>
      </c>
      <c r="F100">
        <v>0.34</v>
      </c>
      <c r="G100">
        <v>66.900000000000006</v>
      </c>
      <c r="H100">
        <v>6.64</v>
      </c>
      <c r="I100">
        <v>0.45200000000000001</v>
      </c>
      <c r="J100">
        <v>0.33500000000000002</v>
      </c>
      <c r="K100">
        <v>59.8</v>
      </c>
    </row>
    <row r="101" spans="1:15" x14ac:dyDescent="0.3">
      <c r="A101">
        <v>2023</v>
      </c>
      <c r="B101">
        <v>7.24</v>
      </c>
      <c r="C101">
        <v>0.5</v>
      </c>
      <c r="D101">
        <v>0.73</v>
      </c>
      <c r="E101">
        <f>Variables_Hungary[[#This Row],[POLITICAL STABILITY INDEX]]/2.5*10</f>
        <v>2.92</v>
      </c>
      <c r="F101">
        <v>0.33</v>
      </c>
      <c r="G101">
        <v>64.099999999999994</v>
      </c>
      <c r="H101">
        <v>6.72</v>
      </c>
      <c r="I101">
        <v>0.437</v>
      </c>
      <c r="J101">
        <v>0.32300000000000001</v>
      </c>
      <c r="K101">
        <v>62.96</v>
      </c>
    </row>
    <row r="102" spans="1:15" x14ac:dyDescent="0.3">
      <c r="A102">
        <v>2024</v>
      </c>
      <c r="B102">
        <v>7.44</v>
      </c>
      <c r="C102">
        <v>0.44</v>
      </c>
      <c r="F102">
        <v>0.3</v>
      </c>
      <c r="G102">
        <v>61.2</v>
      </c>
      <c r="H102">
        <v>6.51</v>
      </c>
      <c r="I102">
        <v>0.436</v>
      </c>
      <c r="J102">
        <v>0.318</v>
      </c>
      <c r="K102">
        <v>62.68</v>
      </c>
    </row>
    <row r="103" spans="1:15" x14ac:dyDescent="0.3">
      <c r="A103">
        <v>2025</v>
      </c>
      <c r="G103">
        <v>61.4</v>
      </c>
      <c r="K103">
        <v>62.82</v>
      </c>
    </row>
    <row r="105" spans="1:15" x14ac:dyDescent="0.3">
      <c r="A105" s="27" t="s">
        <v>332</v>
      </c>
    </row>
    <row r="107" spans="1:15" x14ac:dyDescent="0.3">
      <c r="A107" s="27" t="s">
        <v>324</v>
      </c>
      <c r="B107" s="27" t="s">
        <v>328</v>
      </c>
      <c r="C107" s="27" t="s">
        <v>327</v>
      </c>
      <c r="D107" s="27" t="s">
        <v>335</v>
      </c>
      <c r="E107" s="27" t="s">
        <v>346</v>
      </c>
      <c r="F107" s="27" t="s">
        <v>336</v>
      </c>
      <c r="G107" s="27" t="s">
        <v>337</v>
      </c>
      <c r="H107" s="27" t="s">
        <v>338</v>
      </c>
      <c r="I107" s="27" t="s">
        <v>341</v>
      </c>
      <c r="J107" s="27" t="s">
        <v>342</v>
      </c>
      <c r="K107" s="27" t="s">
        <v>343</v>
      </c>
      <c r="M107" s="27"/>
      <c r="N107" s="27"/>
      <c r="O107" s="27"/>
    </row>
    <row r="108" spans="1:15" x14ac:dyDescent="0.3">
      <c r="A108">
        <v>2015</v>
      </c>
      <c r="B108">
        <v>7.81</v>
      </c>
      <c r="C108">
        <v>0.73</v>
      </c>
      <c r="D108">
        <v>0.14000000000000001</v>
      </c>
      <c r="E108">
        <f>Variables_Montenegro[[#This Row],[POLITICAL STABILITY INDEX]]/2.5*10</f>
        <v>0.56000000000000005</v>
      </c>
      <c r="G108">
        <v>64.7</v>
      </c>
      <c r="H108">
        <v>6.01</v>
      </c>
      <c r="I108">
        <v>0.46600000000000003</v>
      </c>
      <c r="J108">
        <v>0.375</v>
      </c>
      <c r="K108">
        <v>65.37</v>
      </c>
    </row>
    <row r="109" spans="1:15" x14ac:dyDescent="0.3">
      <c r="A109">
        <v>2016</v>
      </c>
      <c r="B109">
        <v>7.92</v>
      </c>
      <c r="C109">
        <v>0.73</v>
      </c>
      <c r="D109">
        <v>0.27</v>
      </c>
      <c r="E109">
        <f>Variables_Montenegro[[#This Row],[POLITICAL STABILITY INDEX]]/2.5*10</f>
        <v>1.08</v>
      </c>
      <c r="F109">
        <v>0.63</v>
      </c>
      <c r="G109">
        <v>64.900000000000006</v>
      </c>
      <c r="H109">
        <v>5.72</v>
      </c>
      <c r="I109">
        <v>0.46400000000000002</v>
      </c>
      <c r="J109">
        <v>0.36899999999999999</v>
      </c>
      <c r="K109">
        <v>67.209999999999994</v>
      </c>
    </row>
    <row r="110" spans="1:15" x14ac:dyDescent="0.3">
      <c r="A110">
        <v>2017</v>
      </c>
      <c r="B110">
        <v>7.69</v>
      </c>
      <c r="C110">
        <v>0.77</v>
      </c>
      <c r="D110">
        <v>-0.06</v>
      </c>
      <c r="E110">
        <f>Variables_Montenegro[[#This Row],[POLITICAL STABILITY INDEX]]/2.5*10</f>
        <v>-0.24</v>
      </c>
      <c r="F110">
        <v>0.64</v>
      </c>
      <c r="G110">
        <v>62</v>
      </c>
      <c r="H110">
        <v>5.69</v>
      </c>
      <c r="I110">
        <v>0.45400000000000001</v>
      </c>
      <c r="J110">
        <v>0.35899999999999999</v>
      </c>
      <c r="K110">
        <v>66.349999999999994</v>
      </c>
    </row>
    <row r="111" spans="1:15" x14ac:dyDescent="0.3">
      <c r="A111">
        <v>2018</v>
      </c>
      <c r="B111">
        <v>7.74</v>
      </c>
      <c r="C111">
        <v>0.72</v>
      </c>
      <c r="D111">
        <v>0.04</v>
      </c>
      <c r="E111">
        <f>Variables_Montenegro[[#This Row],[POLITICAL STABILITY INDEX]]/2.5*10</f>
        <v>0.16</v>
      </c>
      <c r="F111">
        <v>0.64</v>
      </c>
      <c r="G111">
        <v>64.3</v>
      </c>
      <c r="H111">
        <v>5.74</v>
      </c>
      <c r="I111">
        <v>0.46300000000000002</v>
      </c>
      <c r="J111">
        <v>0.36</v>
      </c>
      <c r="K111">
        <v>68.790000000000006</v>
      </c>
    </row>
    <row r="112" spans="1:15" x14ac:dyDescent="0.3">
      <c r="A112">
        <v>2019</v>
      </c>
      <c r="B112">
        <v>7.77</v>
      </c>
      <c r="C112">
        <v>0.73</v>
      </c>
      <c r="D112">
        <v>0.06</v>
      </c>
      <c r="E112">
        <f>Variables_Montenegro[[#This Row],[POLITICAL STABILITY INDEX]]/2.5*10</f>
        <v>0.24</v>
      </c>
      <c r="F112">
        <v>0.64</v>
      </c>
      <c r="G112">
        <v>60.5</v>
      </c>
      <c r="H112">
        <v>5.65</v>
      </c>
      <c r="I112">
        <v>0.46100000000000002</v>
      </c>
      <c r="J112">
        <v>0.35899999999999999</v>
      </c>
      <c r="K112">
        <v>67.260000000000005</v>
      </c>
    </row>
    <row r="113" spans="1:15" x14ac:dyDescent="0.3">
      <c r="A113">
        <v>2020</v>
      </c>
      <c r="B113">
        <v>7.4</v>
      </c>
      <c r="C113">
        <v>0.75</v>
      </c>
      <c r="D113">
        <v>-0.06</v>
      </c>
      <c r="E113">
        <f>Variables_Montenegro[[#This Row],[POLITICAL STABILITY INDEX]]/2.5*10</f>
        <v>-0.24</v>
      </c>
      <c r="F113">
        <v>0.69</v>
      </c>
      <c r="G113">
        <v>61.5</v>
      </c>
      <c r="H113">
        <v>5.77</v>
      </c>
      <c r="I113">
        <v>0.47899999999999998</v>
      </c>
      <c r="J113">
        <v>0.378</v>
      </c>
      <c r="K113">
        <v>66.17</v>
      </c>
    </row>
    <row r="114" spans="1:15" x14ac:dyDescent="0.3">
      <c r="A114">
        <v>2021</v>
      </c>
      <c r="B114">
        <v>7.7</v>
      </c>
      <c r="C114">
        <v>0.69</v>
      </c>
      <c r="D114">
        <v>-0.05</v>
      </c>
      <c r="E114">
        <f>Variables_Montenegro[[#This Row],[POLITICAL STABILITY INDEX]]/2.5*10</f>
        <v>-0.2</v>
      </c>
      <c r="F114">
        <v>0.8</v>
      </c>
      <c r="G114">
        <v>63.4</v>
      </c>
      <c r="H114">
        <v>6.02</v>
      </c>
      <c r="I114">
        <v>0.51900000000000002</v>
      </c>
      <c r="J114">
        <v>0.41699999999999998</v>
      </c>
      <c r="K114">
        <v>65.67</v>
      </c>
    </row>
    <row r="115" spans="1:15" x14ac:dyDescent="0.3">
      <c r="A115">
        <v>2022</v>
      </c>
      <c r="B115">
        <v>7.77</v>
      </c>
      <c r="C115">
        <v>0.68</v>
      </c>
      <c r="D115">
        <v>-0.14000000000000001</v>
      </c>
      <c r="E115">
        <f>Variables_Montenegro[[#This Row],[POLITICAL STABILITY INDEX]]/2.5*10</f>
        <v>-0.56000000000000005</v>
      </c>
      <c r="F115">
        <v>0.82</v>
      </c>
      <c r="G115">
        <v>57.8</v>
      </c>
      <c r="H115">
        <v>6.45</v>
      </c>
      <c r="I115">
        <v>0.51500000000000001</v>
      </c>
      <c r="J115">
        <v>0.41499999999999998</v>
      </c>
      <c r="K115">
        <v>66.540000000000006</v>
      </c>
    </row>
    <row r="116" spans="1:15" x14ac:dyDescent="0.3">
      <c r="A116">
        <v>2023</v>
      </c>
      <c r="B116">
        <v>7.8</v>
      </c>
      <c r="C116">
        <v>0.66</v>
      </c>
      <c r="D116">
        <v>7.0000000000000007E-2</v>
      </c>
      <c r="E116">
        <f>Variables_Montenegro[[#This Row],[POLITICAL STABILITY INDEX]]/2.5*10</f>
        <v>0.28000000000000003</v>
      </c>
      <c r="F116">
        <v>0.82</v>
      </c>
      <c r="G116">
        <v>60.9</v>
      </c>
      <c r="H116">
        <v>6.67</v>
      </c>
      <c r="I116">
        <v>0.58699999999999997</v>
      </c>
      <c r="J116">
        <v>0.47099999999999997</v>
      </c>
      <c r="K116">
        <v>74.28</v>
      </c>
    </row>
    <row r="117" spans="1:15" x14ac:dyDescent="0.3">
      <c r="A117">
        <v>2024</v>
      </c>
      <c r="B117">
        <v>7.77</v>
      </c>
      <c r="C117">
        <v>0.72</v>
      </c>
      <c r="G117">
        <v>59.7</v>
      </c>
      <c r="H117">
        <v>6.73</v>
      </c>
      <c r="I117">
        <v>0.61499999999999999</v>
      </c>
      <c r="J117">
        <v>0.47799999999999998</v>
      </c>
      <c r="K117">
        <v>73.209999999999994</v>
      </c>
    </row>
    <row r="118" spans="1:15" x14ac:dyDescent="0.3">
      <c r="A118">
        <v>2025</v>
      </c>
      <c r="G118">
        <v>63.8</v>
      </c>
      <c r="K118">
        <v>72.83</v>
      </c>
    </row>
    <row r="120" spans="1:15" x14ac:dyDescent="0.3">
      <c r="A120" s="27" t="s">
        <v>333</v>
      </c>
    </row>
    <row r="122" spans="1:15" x14ac:dyDescent="0.3">
      <c r="A122" s="27" t="s">
        <v>324</v>
      </c>
      <c r="B122" s="27" t="s">
        <v>328</v>
      </c>
      <c r="C122" s="27" t="s">
        <v>327</v>
      </c>
      <c r="D122" s="27" t="s">
        <v>335</v>
      </c>
      <c r="E122" s="27" t="s">
        <v>346</v>
      </c>
      <c r="F122" s="27" t="s">
        <v>336</v>
      </c>
      <c r="G122" s="27" t="s">
        <v>337</v>
      </c>
      <c r="H122" s="27" t="s">
        <v>338</v>
      </c>
      <c r="I122" s="27" t="s">
        <v>341</v>
      </c>
      <c r="J122" s="27" t="s">
        <v>342</v>
      </c>
      <c r="K122" s="27" t="s">
        <v>343</v>
      </c>
      <c r="M122" s="27"/>
      <c r="N122" s="27"/>
      <c r="O122" s="27"/>
    </row>
    <row r="123" spans="1:15" x14ac:dyDescent="0.3">
      <c r="A123">
        <v>2015</v>
      </c>
      <c r="B123">
        <v>7.99</v>
      </c>
      <c r="C123">
        <v>0.61</v>
      </c>
      <c r="D123">
        <v>0.34</v>
      </c>
      <c r="E123">
        <f>Variables_Albania[[#This Row],[POLITICAL STABILITY INDEX]]/2.5*10</f>
        <v>1.36</v>
      </c>
      <c r="G123">
        <v>65.7</v>
      </c>
      <c r="H123">
        <v>5.91</v>
      </c>
      <c r="I123">
        <v>0.52400000000000002</v>
      </c>
      <c r="J123">
        <v>0.442</v>
      </c>
      <c r="K123">
        <v>71.23</v>
      </c>
    </row>
    <row r="124" spans="1:15" x14ac:dyDescent="0.3">
      <c r="A124">
        <v>2016</v>
      </c>
      <c r="B124">
        <v>8.01</v>
      </c>
      <c r="C124">
        <v>0.62</v>
      </c>
      <c r="D124">
        <v>0.34</v>
      </c>
      <c r="E124">
        <f>Variables_Albania[[#This Row],[POLITICAL STABILITY INDEX]]/2.5*10</f>
        <v>1.36</v>
      </c>
      <c r="F124">
        <v>0.86</v>
      </c>
      <c r="G124">
        <v>65.900000000000006</v>
      </c>
      <c r="H124">
        <v>5.91</v>
      </c>
      <c r="I124">
        <v>0.52300000000000002</v>
      </c>
      <c r="J124">
        <v>0.441</v>
      </c>
      <c r="K124">
        <v>70.08</v>
      </c>
    </row>
    <row r="125" spans="1:15" x14ac:dyDescent="0.3">
      <c r="A125">
        <v>2017</v>
      </c>
      <c r="B125">
        <v>8.0399999999999991</v>
      </c>
      <c r="C125">
        <v>0.62</v>
      </c>
      <c r="D125">
        <v>0.37</v>
      </c>
      <c r="E125">
        <f>Variables_Albania[[#This Row],[POLITICAL STABILITY INDEX]]/2.5*10</f>
        <v>1.48</v>
      </c>
      <c r="F125">
        <v>0.86</v>
      </c>
      <c r="G125">
        <v>64.400000000000006</v>
      </c>
      <c r="H125">
        <v>5.98</v>
      </c>
      <c r="I125">
        <v>0.53700000000000003</v>
      </c>
      <c r="J125">
        <v>0.44</v>
      </c>
      <c r="K125">
        <v>70.08</v>
      </c>
    </row>
    <row r="126" spans="1:15" x14ac:dyDescent="0.3">
      <c r="A126">
        <v>2018</v>
      </c>
      <c r="B126">
        <v>8.0299999999999994</v>
      </c>
      <c r="C126">
        <v>0.61</v>
      </c>
      <c r="D126">
        <v>0.37</v>
      </c>
      <c r="E126">
        <f>Variables_Albania[[#This Row],[POLITICAL STABILITY INDEX]]/2.5*10</f>
        <v>1.48</v>
      </c>
      <c r="F126">
        <v>0.86</v>
      </c>
      <c r="G126">
        <v>64.5</v>
      </c>
      <c r="H126">
        <v>5.98</v>
      </c>
      <c r="I126">
        <v>0.52300000000000002</v>
      </c>
      <c r="J126">
        <v>0.432</v>
      </c>
      <c r="K126">
        <v>70.510000000000005</v>
      </c>
    </row>
    <row r="127" spans="1:15" x14ac:dyDescent="0.3">
      <c r="A127">
        <v>2019</v>
      </c>
      <c r="B127">
        <v>8.0299999999999994</v>
      </c>
      <c r="C127">
        <v>0.64</v>
      </c>
      <c r="D127">
        <v>0.11</v>
      </c>
      <c r="E127">
        <f>Variables_Albania[[#This Row],[POLITICAL STABILITY INDEX]]/2.5*10</f>
        <v>0.43999999999999995</v>
      </c>
      <c r="F127">
        <v>0.85</v>
      </c>
      <c r="G127">
        <v>66.5</v>
      </c>
      <c r="H127">
        <v>5.89</v>
      </c>
      <c r="I127">
        <v>0.51200000000000001</v>
      </c>
      <c r="J127">
        <v>0.42399999999999999</v>
      </c>
      <c r="K127">
        <v>70.16</v>
      </c>
    </row>
    <row r="128" spans="1:15" x14ac:dyDescent="0.3">
      <c r="A128">
        <v>2020</v>
      </c>
      <c r="B128">
        <v>7.66</v>
      </c>
      <c r="C128">
        <v>0.7</v>
      </c>
      <c r="D128">
        <v>0.09</v>
      </c>
      <c r="E128">
        <f>Variables_Albania[[#This Row],[POLITICAL STABILITY INDEX]]/2.5*10</f>
        <v>0.36</v>
      </c>
      <c r="F128">
        <v>0.82</v>
      </c>
      <c r="G128">
        <v>66.900000000000006</v>
      </c>
      <c r="H128">
        <v>6.08</v>
      </c>
      <c r="I128">
        <v>0.52600000000000002</v>
      </c>
      <c r="J128">
        <v>0.44</v>
      </c>
      <c r="K128">
        <v>69.75</v>
      </c>
    </row>
    <row r="129" spans="1:12" x14ac:dyDescent="0.3">
      <c r="A129">
        <v>2021</v>
      </c>
      <c r="B129">
        <v>7.67</v>
      </c>
      <c r="C129">
        <v>0.7</v>
      </c>
      <c r="D129">
        <v>0.2</v>
      </c>
      <c r="E129">
        <f>Variables_Albania[[#This Row],[POLITICAL STABILITY INDEX]]/2.5*10</f>
        <v>0.8</v>
      </c>
      <c r="F129">
        <v>0.82</v>
      </c>
      <c r="G129">
        <v>65.2</v>
      </c>
      <c r="H129">
        <v>6.11</v>
      </c>
      <c r="I129">
        <v>0.52500000000000002</v>
      </c>
      <c r="J129">
        <v>0.438</v>
      </c>
      <c r="K129">
        <v>69.41</v>
      </c>
    </row>
    <row r="130" spans="1:12" x14ac:dyDescent="0.3">
      <c r="A130">
        <v>2022</v>
      </c>
      <c r="B130">
        <v>7.92</v>
      </c>
      <c r="C130">
        <v>0.68</v>
      </c>
      <c r="D130">
        <v>0.11</v>
      </c>
      <c r="E130">
        <f>Variables_Albania[[#This Row],[POLITICAL STABILITY INDEX]]/2.5*10</f>
        <v>0.43999999999999995</v>
      </c>
      <c r="F130">
        <v>0.82</v>
      </c>
      <c r="G130">
        <v>66.599999999999994</v>
      </c>
      <c r="H130">
        <v>6.41</v>
      </c>
      <c r="I130">
        <v>0.52</v>
      </c>
      <c r="J130">
        <v>0.433</v>
      </c>
      <c r="K130">
        <v>56.41</v>
      </c>
    </row>
    <row r="131" spans="1:12" x14ac:dyDescent="0.3">
      <c r="A131">
        <v>2023</v>
      </c>
      <c r="B131">
        <v>7.67</v>
      </c>
      <c r="C131">
        <v>0.7</v>
      </c>
      <c r="D131">
        <v>0.18</v>
      </c>
      <c r="E131">
        <f>Variables_Albania[[#This Row],[POLITICAL STABILITY INDEX]]/2.5*10</f>
        <v>0.72</v>
      </c>
      <c r="F131">
        <v>0.68</v>
      </c>
      <c r="G131">
        <v>65.3</v>
      </c>
      <c r="H131">
        <v>6.28</v>
      </c>
      <c r="I131">
        <v>0.50700000000000001</v>
      </c>
      <c r="J131">
        <v>0.39800000000000002</v>
      </c>
      <c r="K131">
        <v>57.86</v>
      </c>
    </row>
    <row r="132" spans="1:12" x14ac:dyDescent="0.3">
      <c r="A132">
        <v>2024</v>
      </c>
      <c r="B132">
        <v>7.92</v>
      </c>
      <c r="C132">
        <v>0.64</v>
      </c>
      <c r="G132">
        <v>64.8</v>
      </c>
      <c r="H132">
        <v>6.2</v>
      </c>
      <c r="I132">
        <v>0.50700000000000001</v>
      </c>
      <c r="J132">
        <v>0.39600000000000002</v>
      </c>
      <c r="K132">
        <v>54.1</v>
      </c>
    </row>
    <row r="133" spans="1:12" x14ac:dyDescent="0.3">
      <c r="A133">
        <v>2025</v>
      </c>
      <c r="G133">
        <v>66.599999999999994</v>
      </c>
      <c r="K133">
        <v>58.18</v>
      </c>
    </row>
    <row r="135" spans="1:12" x14ac:dyDescent="0.3">
      <c r="A135" s="27" t="s">
        <v>334</v>
      </c>
    </row>
    <row r="137" spans="1:12" x14ac:dyDescent="0.3">
      <c r="A137" s="27" t="s">
        <v>324</v>
      </c>
      <c r="B137" s="27" t="s">
        <v>328</v>
      </c>
      <c r="C137" s="27" t="s">
        <v>327</v>
      </c>
      <c r="D137" s="27" t="s">
        <v>335</v>
      </c>
      <c r="E137" s="27" t="s">
        <v>336</v>
      </c>
      <c r="F137" s="27" t="s">
        <v>337</v>
      </c>
      <c r="G137" s="27" t="s">
        <v>338</v>
      </c>
      <c r="H137" s="27" t="s">
        <v>341</v>
      </c>
      <c r="I137" s="27" t="s">
        <v>342</v>
      </c>
      <c r="J137" s="27" t="s">
        <v>343</v>
      </c>
      <c r="L137" s="27"/>
    </row>
    <row r="138" spans="1:12" x14ac:dyDescent="0.3">
      <c r="A138">
        <v>2015</v>
      </c>
      <c r="D138">
        <v>-0.2</v>
      </c>
      <c r="E138">
        <f>Variables_Kosovo[[#This Row],[POLITICAL STABILITY INDEX]]/2.5*10</f>
        <v>-0.8</v>
      </c>
      <c r="J138">
        <v>69.37</v>
      </c>
    </row>
    <row r="139" spans="1:12" x14ac:dyDescent="0.3">
      <c r="A139">
        <v>2016</v>
      </c>
      <c r="D139">
        <v>-0.28999999999999998</v>
      </c>
      <c r="E139">
        <f>Variables_Kosovo[[#This Row],[POLITICAL STABILITY INDEX]]/2.5*10</f>
        <v>-1.1599999999999999</v>
      </c>
      <c r="J139">
        <v>69.5</v>
      </c>
    </row>
    <row r="140" spans="1:12" x14ac:dyDescent="0.3">
      <c r="A140">
        <v>2017</v>
      </c>
      <c r="D140">
        <v>-0.24</v>
      </c>
      <c r="E140">
        <f>Variables_Kosovo[[#This Row],[POLITICAL STABILITY INDEX]]/2.5*10</f>
        <v>-0.96</v>
      </c>
      <c r="J140">
        <v>69.55</v>
      </c>
    </row>
    <row r="141" spans="1:12" x14ac:dyDescent="0.3">
      <c r="A141">
        <v>2018</v>
      </c>
      <c r="D141">
        <v>-0.68</v>
      </c>
      <c r="E141">
        <f>Variables_Kosovo[[#This Row],[POLITICAL STABILITY INDEX]]/2.5*10</f>
        <v>-2.72</v>
      </c>
      <c r="J141">
        <v>70.39</v>
      </c>
    </row>
    <row r="142" spans="1:12" x14ac:dyDescent="0.3">
      <c r="A142">
        <v>2019</v>
      </c>
      <c r="D142">
        <v>-0.35</v>
      </c>
      <c r="E142">
        <f>Variables_Kosovo[[#This Row],[POLITICAL STABILITY INDEX]]/2.5*10</f>
        <v>-1.4</v>
      </c>
      <c r="J142">
        <v>70.319999999999993</v>
      </c>
    </row>
    <row r="143" spans="1:12" x14ac:dyDescent="0.3">
      <c r="A143">
        <v>2020</v>
      </c>
      <c r="D143">
        <v>-0.28000000000000003</v>
      </c>
      <c r="E143">
        <f>Variables_Kosovo[[#This Row],[POLITICAL STABILITY INDEX]]/2.5*10</f>
        <v>-1.1200000000000001</v>
      </c>
      <c r="J143">
        <v>70.67</v>
      </c>
    </row>
    <row r="144" spans="1:12" x14ac:dyDescent="0.3">
      <c r="A144">
        <v>2021</v>
      </c>
      <c r="D144">
        <v>-0.11</v>
      </c>
      <c r="E144">
        <f>Variables_Kosovo[[#This Row],[POLITICAL STABILITY INDEX]]/2.5*10</f>
        <v>-0.43999999999999995</v>
      </c>
      <c r="J144">
        <v>69.680000000000007</v>
      </c>
    </row>
    <row r="145" spans="1:10" x14ac:dyDescent="0.3">
      <c r="A145">
        <v>2022</v>
      </c>
      <c r="D145">
        <v>-0.2</v>
      </c>
      <c r="E145">
        <f>Variables_Kosovo[[#This Row],[POLITICAL STABILITY INDEX]]/2.5*10</f>
        <v>-0.8</v>
      </c>
      <c r="J145">
        <v>67</v>
      </c>
    </row>
    <row r="146" spans="1:10" x14ac:dyDescent="0.3">
      <c r="A146">
        <v>2023</v>
      </c>
      <c r="D146">
        <v>-0.32</v>
      </c>
      <c r="E146">
        <f>Variables_Kosovo[[#This Row],[POLITICAL STABILITY INDEX]]/2.5*10</f>
        <v>-1.28</v>
      </c>
      <c r="J146">
        <v>68.38</v>
      </c>
    </row>
    <row r="147" spans="1:10" x14ac:dyDescent="0.3">
      <c r="A147">
        <v>2024</v>
      </c>
      <c r="J147">
        <v>60.19</v>
      </c>
    </row>
    <row r="148" spans="1:10" x14ac:dyDescent="0.3">
      <c r="A148">
        <v>2025</v>
      </c>
      <c r="J148">
        <v>52.73</v>
      </c>
    </row>
  </sheetData>
  <phoneticPr fontId="9" type="noConversion"/>
  <hyperlinks>
    <hyperlink ref="B1" r:id="rId1" xr:uid="{1391D7A2-831E-4F1B-AB24-E5C50AECC08C}"/>
    <hyperlink ref="B2" r:id="rId2" xr:uid="{EBCA672A-F1B3-43AC-80E4-C465409BFAB7}"/>
    <hyperlink ref="B6" r:id="rId3" xr:uid="{8E2CFDC5-ABCB-4B35-B2A4-40B76A2BCB32}"/>
    <hyperlink ref="B7" r:id="rId4" xr:uid="{CA64DF52-D003-436B-BFB1-675FD9E41ED1}"/>
    <hyperlink ref="B11" r:id="rId5" xr:uid="{A4FED18A-3B61-4D77-AE93-25EA4461C2FC}"/>
    <hyperlink ref="B13" r:id="rId6" xr:uid="{4105A73B-6568-4F4F-B5C5-8DF433F23382}"/>
    <hyperlink ref="B3" r:id="rId7" display="&gt; POLITICAL STABILITY INDEX" xr:uid="{6B196B90-8107-4508-9EB1-7F757098DE63}"/>
    <hyperlink ref="B4" r:id="rId8" xr:uid="{B26445D9-894E-4AD4-B35D-7B6AB6275F1C}"/>
  </hyperlinks>
  <pageMargins left="0.7" right="0.7" top="0.75" bottom="0.75" header="0.3" footer="0.3"/>
  <pageSetup paperSize="9" orientation="portrait" r:id="rId9"/>
  <tableParts count="9">
    <tablePart r:id="rId10"/>
    <tablePart r:id="rId11"/>
    <tablePart r:id="rId12"/>
    <tablePart r:id="rId13"/>
    <tablePart r:id="rId14"/>
    <tablePart r:id="rId15"/>
    <tablePart r:id="rId16"/>
    <tablePart r:id="rId17"/>
    <tablePart r:id="rId18"/>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46FAA-60E1-4458-AD10-803EB82433A4}">
  <dimension ref="A1:CA125"/>
  <sheetViews>
    <sheetView topLeftCell="AE1" zoomScale="85" zoomScaleNormal="85" workbookViewId="0">
      <selection activeCell="CA22" sqref="CA22"/>
    </sheetView>
  </sheetViews>
  <sheetFormatPr defaultRowHeight="14.4" x14ac:dyDescent="0.3"/>
  <cols>
    <col min="1" max="1" width="9.5546875" bestFit="1" customWidth="1"/>
    <col min="2" max="2" width="24.88671875" bestFit="1" customWidth="1"/>
    <col min="3" max="3" width="34.88671875" bestFit="1" customWidth="1"/>
    <col min="4" max="4" width="26.6640625" bestFit="1" customWidth="1"/>
    <col min="5" max="5" width="27.21875" bestFit="1" customWidth="1"/>
    <col min="6" max="6" width="27.6640625" bestFit="1" customWidth="1"/>
    <col min="7" max="7" width="20" bestFit="1" customWidth="1"/>
    <col min="8" max="8" width="30.21875" bestFit="1" customWidth="1"/>
    <col min="9" max="9" width="27.33203125" bestFit="1" customWidth="1"/>
    <col min="10" max="10" width="26.6640625" bestFit="1" customWidth="1"/>
    <col min="11" max="11" width="14.33203125" bestFit="1" customWidth="1"/>
  </cols>
  <sheetData>
    <row r="1" spans="1:79" x14ac:dyDescent="0.3">
      <c r="A1" s="27" t="s">
        <v>348</v>
      </c>
      <c r="CA1" t="s">
        <v>345</v>
      </c>
    </row>
    <row r="2" spans="1:79" x14ac:dyDescent="0.3">
      <c r="A2" s="27" t="s">
        <v>324</v>
      </c>
      <c r="B2" s="27" t="s">
        <v>328</v>
      </c>
      <c r="C2" s="27" t="s">
        <v>327</v>
      </c>
      <c r="D2" s="27" t="s">
        <v>335</v>
      </c>
      <c r="E2" s="27" t="s">
        <v>336</v>
      </c>
      <c r="F2" s="27" t="s">
        <v>337</v>
      </c>
      <c r="G2" s="27" t="s">
        <v>338</v>
      </c>
      <c r="H2" s="27" t="s">
        <v>341</v>
      </c>
      <c r="I2" s="27" t="s">
        <v>342</v>
      </c>
      <c r="J2" s="27" t="s">
        <v>343</v>
      </c>
    </row>
    <row r="3" spans="1:79" x14ac:dyDescent="0.3">
      <c r="A3">
        <v>2015</v>
      </c>
      <c r="B3">
        <v>8.39</v>
      </c>
      <c r="C3">
        <v>8.9</v>
      </c>
      <c r="D3">
        <v>3.8</v>
      </c>
      <c r="E3">
        <v>9.5</v>
      </c>
      <c r="F3">
        <v>6.03</v>
      </c>
      <c r="G3">
        <v>7.57</v>
      </c>
      <c r="H3">
        <v>8.76</v>
      </c>
      <c r="I3">
        <v>8.08</v>
      </c>
      <c r="J3">
        <v>7.9450000000000003</v>
      </c>
    </row>
    <row r="4" spans="1:79" x14ac:dyDescent="0.3">
      <c r="A4">
        <v>2016</v>
      </c>
      <c r="B4">
        <v>8.35</v>
      </c>
      <c r="C4">
        <v>9.1</v>
      </c>
      <c r="D4">
        <v>3.92</v>
      </c>
      <c r="E4">
        <v>9.5</v>
      </c>
      <c r="F4">
        <v>6.06</v>
      </c>
      <c r="G4">
        <v>7.51</v>
      </c>
      <c r="H4">
        <v>8.629999999999999</v>
      </c>
      <c r="I4">
        <v>7.9600000000000009</v>
      </c>
      <c r="J4">
        <v>7.7739999999999991</v>
      </c>
    </row>
    <row r="5" spans="1:79" x14ac:dyDescent="0.3">
      <c r="A5">
        <v>2017</v>
      </c>
      <c r="B5">
        <v>8.35</v>
      </c>
      <c r="C5" s="58">
        <v>8.6</v>
      </c>
      <c r="D5">
        <v>3.4799999999999995</v>
      </c>
      <c r="E5">
        <v>9.5</v>
      </c>
      <c r="F5">
        <v>5.92</v>
      </c>
      <c r="G5">
        <v>7.5</v>
      </c>
      <c r="H5">
        <v>8.41</v>
      </c>
      <c r="I5">
        <v>7.73</v>
      </c>
      <c r="J5">
        <v>7.83</v>
      </c>
    </row>
    <row r="6" spans="1:79" x14ac:dyDescent="0.3">
      <c r="A6">
        <v>2018</v>
      </c>
      <c r="B6">
        <v>8.36</v>
      </c>
      <c r="C6">
        <v>8.5</v>
      </c>
      <c r="D6">
        <v>3.5599999999999996</v>
      </c>
      <c r="E6">
        <v>9.5</v>
      </c>
      <c r="F6">
        <v>6.48</v>
      </c>
      <c r="G6">
        <v>7.5</v>
      </c>
      <c r="H6">
        <v>8.2899999999999991</v>
      </c>
      <c r="I6">
        <v>7.58</v>
      </c>
      <c r="J6">
        <v>7.8310000000000004</v>
      </c>
    </row>
    <row r="7" spans="1:79" x14ac:dyDescent="0.3">
      <c r="A7">
        <v>2019</v>
      </c>
      <c r="B7">
        <v>8.35</v>
      </c>
      <c r="C7">
        <v>8.6999999999999993</v>
      </c>
      <c r="D7">
        <v>3.2</v>
      </c>
      <c r="E7">
        <v>9.5</v>
      </c>
      <c r="F7">
        <v>6.55</v>
      </c>
      <c r="G7">
        <v>7.5</v>
      </c>
      <c r="H7">
        <v>8.120000000000001</v>
      </c>
      <c r="I7">
        <v>7.4399999999999995</v>
      </c>
      <c r="J7">
        <v>7.7690000000000001</v>
      </c>
    </row>
    <row r="8" spans="1:79" x14ac:dyDescent="0.3">
      <c r="A8">
        <v>2020</v>
      </c>
      <c r="B8">
        <v>7.93</v>
      </c>
      <c r="C8">
        <v>8.1</v>
      </c>
      <c r="D8">
        <v>2.8</v>
      </c>
      <c r="E8">
        <v>9.1</v>
      </c>
      <c r="F8">
        <v>6.78</v>
      </c>
      <c r="G8">
        <v>7.54</v>
      </c>
      <c r="H8">
        <v>7.54</v>
      </c>
      <c r="I8">
        <v>6.6800000000000006</v>
      </c>
      <c r="J8">
        <v>7.7359999999999998</v>
      </c>
    </row>
    <row r="9" spans="1:79" x14ac:dyDescent="0.3">
      <c r="A9">
        <v>2021</v>
      </c>
      <c r="B9">
        <v>7.91</v>
      </c>
      <c r="C9">
        <v>8</v>
      </c>
      <c r="D9">
        <v>3.04</v>
      </c>
      <c r="E9">
        <v>8.8000000000000007</v>
      </c>
      <c r="F9">
        <v>6.83</v>
      </c>
      <c r="G9">
        <v>7.54</v>
      </c>
      <c r="H9">
        <v>7.16</v>
      </c>
      <c r="I9">
        <v>6.24</v>
      </c>
      <c r="J9">
        <v>7.69</v>
      </c>
    </row>
    <row r="10" spans="1:79" x14ac:dyDescent="0.3">
      <c r="A10">
        <v>2022</v>
      </c>
      <c r="B10">
        <v>8.26</v>
      </c>
      <c r="C10">
        <v>8.1999999999999993</v>
      </c>
      <c r="D10">
        <v>2.84</v>
      </c>
      <c r="E10">
        <v>9.3000000000000007</v>
      </c>
      <c r="F10">
        <v>7.05</v>
      </c>
      <c r="G10">
        <v>7.75</v>
      </c>
      <c r="H10">
        <v>8.120000000000001</v>
      </c>
      <c r="I10">
        <v>7.3</v>
      </c>
      <c r="J10">
        <v>6.854000000000001</v>
      </c>
    </row>
    <row r="11" spans="1:79" x14ac:dyDescent="0.3">
      <c r="A11">
        <v>2023</v>
      </c>
      <c r="B11">
        <v>7.9</v>
      </c>
      <c r="C11">
        <v>9.1</v>
      </c>
      <c r="D11">
        <v>3.2799999999999994</v>
      </c>
      <c r="E11">
        <v>9.4</v>
      </c>
      <c r="F11">
        <v>6.85</v>
      </c>
      <c r="G11">
        <v>7.75</v>
      </c>
      <c r="H11">
        <v>7.57</v>
      </c>
      <c r="I11">
        <v>6.5500000000000007</v>
      </c>
      <c r="J11">
        <v>7.0590000000000002</v>
      </c>
    </row>
    <row r="12" spans="1:79" x14ac:dyDescent="0.3">
      <c r="A12">
        <v>2024</v>
      </c>
      <c r="B12">
        <v>8.26</v>
      </c>
      <c r="C12">
        <v>9.1</v>
      </c>
      <c r="E12">
        <v>9.3000000000000007</v>
      </c>
      <c r="F12">
        <v>6.59</v>
      </c>
      <c r="G12">
        <v>7.82</v>
      </c>
      <c r="H12">
        <v>7.16</v>
      </c>
      <c r="I12">
        <v>6.1899999999999995</v>
      </c>
      <c r="J12">
        <v>7.26</v>
      </c>
    </row>
    <row r="13" spans="1:79" x14ac:dyDescent="0.3">
      <c r="A13">
        <v>2025</v>
      </c>
      <c r="F13">
        <v>6.83</v>
      </c>
      <c r="J13">
        <v>7.4060000000000006</v>
      </c>
    </row>
    <row r="15" spans="1:79" x14ac:dyDescent="0.3">
      <c r="A15" s="27" t="s">
        <v>349</v>
      </c>
    </row>
    <row r="16" spans="1:79" x14ac:dyDescent="0.3">
      <c r="A16" s="27" t="s">
        <v>324</v>
      </c>
      <c r="B16" s="27" t="s">
        <v>328</v>
      </c>
      <c r="C16" s="27" t="s">
        <v>327</v>
      </c>
      <c r="D16" s="27" t="s">
        <v>335</v>
      </c>
      <c r="E16" s="27" t="s">
        <v>336</v>
      </c>
      <c r="F16" s="27" t="s">
        <v>337</v>
      </c>
      <c r="G16" s="27" t="s">
        <v>338</v>
      </c>
      <c r="H16" s="27" t="s">
        <v>341</v>
      </c>
      <c r="I16" s="27" t="s">
        <v>342</v>
      </c>
      <c r="J16" s="27" t="s">
        <v>343</v>
      </c>
    </row>
    <row r="17" spans="1:10" x14ac:dyDescent="0.3">
      <c r="A17">
        <v>2015</v>
      </c>
      <c r="B17">
        <v>8.19</v>
      </c>
      <c r="C17">
        <v>8</v>
      </c>
      <c r="D17">
        <v>2.36</v>
      </c>
      <c r="E17">
        <v>8.6</v>
      </c>
      <c r="F17">
        <v>6.15</v>
      </c>
      <c r="G17">
        <v>6.93</v>
      </c>
      <c r="H17">
        <v>8.16</v>
      </c>
      <c r="I17">
        <v>7.01</v>
      </c>
      <c r="J17">
        <v>7.3879999999999999</v>
      </c>
    </row>
    <row r="18" spans="1:10" x14ac:dyDescent="0.3">
      <c r="A18">
        <v>2016</v>
      </c>
      <c r="B18">
        <v>8.14</v>
      </c>
      <c r="C18">
        <v>7.1</v>
      </c>
      <c r="D18">
        <v>2.6</v>
      </c>
      <c r="E18">
        <v>8.6</v>
      </c>
      <c r="F18">
        <v>5.91</v>
      </c>
      <c r="G18">
        <v>6.75</v>
      </c>
      <c r="H18">
        <v>7.6400000000000006</v>
      </c>
      <c r="I18">
        <v>6.53</v>
      </c>
      <c r="J18">
        <v>7.2090000000000005</v>
      </c>
    </row>
    <row r="19" spans="1:10" x14ac:dyDescent="0.3">
      <c r="A19">
        <v>2017</v>
      </c>
      <c r="B19">
        <v>8.17</v>
      </c>
      <c r="C19">
        <v>7.4</v>
      </c>
      <c r="D19">
        <v>2.72</v>
      </c>
      <c r="E19">
        <v>8.5</v>
      </c>
      <c r="F19">
        <v>5.9399999999999995</v>
      </c>
      <c r="G19">
        <v>6.63</v>
      </c>
      <c r="H19">
        <v>7.39</v>
      </c>
      <c r="I19">
        <v>6.25</v>
      </c>
      <c r="J19">
        <v>7.0409999999999995</v>
      </c>
    </row>
    <row r="20" spans="1:10" x14ac:dyDescent="0.3">
      <c r="A20">
        <v>2018</v>
      </c>
      <c r="B20">
        <v>8.15</v>
      </c>
      <c r="C20">
        <v>7.4</v>
      </c>
      <c r="D20">
        <v>3.16</v>
      </c>
      <c r="E20">
        <v>8.5</v>
      </c>
      <c r="F20">
        <v>6.1</v>
      </c>
      <c r="G20">
        <v>6.57</v>
      </c>
      <c r="H20">
        <v>7.32</v>
      </c>
      <c r="I20">
        <v>6.17</v>
      </c>
      <c r="J20">
        <v>7.1059999999999999</v>
      </c>
    </row>
    <row r="21" spans="1:10" x14ac:dyDescent="0.3">
      <c r="A21">
        <v>2019</v>
      </c>
      <c r="B21">
        <v>8.1</v>
      </c>
      <c r="C21">
        <v>7.4</v>
      </c>
      <c r="D21">
        <v>2.76</v>
      </c>
      <c r="E21">
        <v>8.5</v>
      </c>
      <c r="F21">
        <v>6.14</v>
      </c>
      <c r="G21">
        <v>6.57</v>
      </c>
      <c r="H21">
        <v>7.42</v>
      </c>
      <c r="I21">
        <v>6.24</v>
      </c>
      <c r="J21">
        <v>7.0969999999999995</v>
      </c>
    </row>
    <row r="22" spans="1:10" x14ac:dyDescent="0.3">
      <c r="A22">
        <v>2020</v>
      </c>
      <c r="B22">
        <v>7.83</v>
      </c>
      <c r="C22">
        <v>7.1</v>
      </c>
      <c r="D22">
        <v>2.44</v>
      </c>
      <c r="E22">
        <v>8.8000000000000007</v>
      </c>
      <c r="F22">
        <v>6.2200000000000006</v>
      </c>
      <c r="G22">
        <v>6.5</v>
      </c>
      <c r="H22">
        <v>7.73</v>
      </c>
      <c r="I22">
        <v>6.6000000000000005</v>
      </c>
      <c r="J22">
        <v>7.1489999999999991</v>
      </c>
    </row>
    <row r="23" spans="1:10" x14ac:dyDescent="0.3">
      <c r="A23">
        <v>2021</v>
      </c>
      <c r="B23">
        <v>7.91</v>
      </c>
      <c r="C23">
        <v>7</v>
      </c>
      <c r="D23">
        <v>2.48</v>
      </c>
      <c r="E23">
        <v>8.6999999999999993</v>
      </c>
      <c r="F23">
        <v>6.36</v>
      </c>
      <c r="G23">
        <v>6.5</v>
      </c>
      <c r="H23">
        <v>7.61</v>
      </c>
      <c r="I23">
        <v>6.5200000000000005</v>
      </c>
      <c r="J23">
        <v>7.2050000000000001</v>
      </c>
    </row>
    <row r="24" spans="1:10" x14ac:dyDescent="0.3">
      <c r="A24">
        <v>2022</v>
      </c>
      <c r="B24">
        <v>8</v>
      </c>
      <c r="C24">
        <v>7.1</v>
      </c>
      <c r="D24">
        <v>2.68</v>
      </c>
      <c r="E24">
        <v>8.5</v>
      </c>
      <c r="F24">
        <v>6.76</v>
      </c>
      <c r="G24">
        <v>6.5</v>
      </c>
      <c r="H24">
        <v>7.42</v>
      </c>
      <c r="I24">
        <v>6.51</v>
      </c>
      <c r="J24">
        <v>7.0419999999999998</v>
      </c>
    </row>
    <row r="25" spans="1:10" x14ac:dyDescent="0.3">
      <c r="A25">
        <v>2023</v>
      </c>
      <c r="B25">
        <v>7.96</v>
      </c>
      <c r="C25">
        <v>7.1</v>
      </c>
      <c r="D25">
        <v>2.4</v>
      </c>
      <c r="E25">
        <v>8</v>
      </c>
      <c r="F25">
        <v>6.6400000000000006</v>
      </c>
      <c r="G25">
        <v>6.5</v>
      </c>
      <c r="H25">
        <v>7.4399999999999995</v>
      </c>
      <c r="I25">
        <v>6.46</v>
      </c>
      <c r="J25">
        <v>7.1950000000000003</v>
      </c>
    </row>
    <row r="26" spans="1:10" x14ac:dyDescent="0.3">
      <c r="A26">
        <v>2024</v>
      </c>
      <c r="B26">
        <v>8</v>
      </c>
      <c r="C26">
        <v>7.1</v>
      </c>
      <c r="E26">
        <v>8.1999999999999993</v>
      </c>
      <c r="F26">
        <v>6.7200000000000006</v>
      </c>
      <c r="G26">
        <v>6.5</v>
      </c>
      <c r="H26">
        <v>7.2299999999999995</v>
      </c>
      <c r="I26">
        <v>6.1899999999999995</v>
      </c>
      <c r="J26">
        <v>6.8790000000000004</v>
      </c>
    </row>
    <row r="27" spans="1:10" x14ac:dyDescent="0.3">
      <c r="A27">
        <v>2025</v>
      </c>
      <c r="F27">
        <v>6.87</v>
      </c>
      <c r="J27">
        <v>6.42</v>
      </c>
    </row>
    <row r="29" spans="1:10" x14ac:dyDescent="0.3">
      <c r="A29" s="27" t="s">
        <v>350</v>
      </c>
    </row>
    <row r="30" spans="1:10" x14ac:dyDescent="0.3">
      <c r="A30" s="27" t="s">
        <v>324</v>
      </c>
      <c r="B30" s="27" t="s">
        <v>328</v>
      </c>
      <c r="C30" s="27" t="s">
        <v>327</v>
      </c>
      <c r="D30" s="27" t="s">
        <v>335</v>
      </c>
      <c r="E30" s="27" t="s">
        <v>336</v>
      </c>
      <c r="F30" s="27" t="s">
        <v>337</v>
      </c>
      <c r="G30" s="27" t="s">
        <v>338</v>
      </c>
      <c r="H30" s="27" t="s">
        <v>341</v>
      </c>
      <c r="I30" s="27" t="s">
        <v>342</v>
      </c>
      <c r="J30" s="27" t="s">
        <v>343</v>
      </c>
    </row>
    <row r="31" spans="1:10" x14ac:dyDescent="0.3">
      <c r="A31">
        <v>2015</v>
      </c>
      <c r="B31">
        <v>7.4</v>
      </c>
      <c r="C31">
        <v>6.3</v>
      </c>
      <c r="D31">
        <v>-1.6</v>
      </c>
      <c r="E31">
        <v>7.4</v>
      </c>
      <c r="F31">
        <v>5.9</v>
      </c>
      <c r="G31">
        <v>4.83</v>
      </c>
      <c r="H31">
        <v>5.49</v>
      </c>
      <c r="I31">
        <v>3.69</v>
      </c>
      <c r="J31">
        <v>7.2489999999999997</v>
      </c>
    </row>
    <row r="32" spans="1:10" x14ac:dyDescent="0.3">
      <c r="A32">
        <v>2016</v>
      </c>
      <c r="B32">
        <v>7.41</v>
      </c>
      <c r="C32">
        <v>6.4</v>
      </c>
      <c r="D32">
        <v>-1.6</v>
      </c>
      <c r="E32">
        <v>7.3</v>
      </c>
      <c r="F32">
        <v>5.86</v>
      </c>
      <c r="G32">
        <v>4.87</v>
      </c>
      <c r="H32">
        <v>5.5400000000000009</v>
      </c>
      <c r="I32">
        <v>3.6399999999999997</v>
      </c>
      <c r="J32">
        <v>7.1549999999999994</v>
      </c>
    </row>
    <row r="33" spans="1:10" x14ac:dyDescent="0.3">
      <c r="A33">
        <v>2017</v>
      </c>
      <c r="B33">
        <v>7.48</v>
      </c>
      <c r="C33">
        <v>6.4</v>
      </c>
      <c r="D33">
        <v>-1.4</v>
      </c>
      <c r="E33">
        <v>7.5</v>
      </c>
      <c r="F33">
        <v>6.0200000000000005</v>
      </c>
      <c r="G33">
        <v>4.87</v>
      </c>
      <c r="H33">
        <v>5.45</v>
      </c>
      <c r="I33">
        <v>3.6399999999999997</v>
      </c>
      <c r="J33">
        <v>7.2170000000000005</v>
      </c>
    </row>
    <row r="34" spans="1:10" x14ac:dyDescent="0.3">
      <c r="A34">
        <v>2018</v>
      </c>
      <c r="B34">
        <v>7.44</v>
      </c>
      <c r="C34">
        <v>6.2</v>
      </c>
      <c r="D34">
        <v>-1.6</v>
      </c>
      <c r="E34">
        <v>7.5</v>
      </c>
      <c r="F34">
        <v>6.14</v>
      </c>
      <c r="G34">
        <v>4.9800000000000004</v>
      </c>
      <c r="H34">
        <v>5.19</v>
      </c>
      <c r="I34">
        <v>3.4699999999999998</v>
      </c>
      <c r="J34">
        <v>7.2629999999999999</v>
      </c>
    </row>
    <row r="35" spans="1:10" x14ac:dyDescent="0.3">
      <c r="A35">
        <v>2019</v>
      </c>
      <c r="B35">
        <v>7.43</v>
      </c>
      <c r="C35">
        <v>6.6000000000000005</v>
      </c>
      <c r="D35">
        <v>-1.6799999999999997</v>
      </c>
      <c r="E35">
        <v>7.5</v>
      </c>
      <c r="F35">
        <v>6.1899999999999995</v>
      </c>
      <c r="G35">
        <v>4.8600000000000003</v>
      </c>
      <c r="H35">
        <v>5.24</v>
      </c>
      <c r="I35">
        <v>3.4699999999999998</v>
      </c>
      <c r="J35">
        <v>7.0980000000000008</v>
      </c>
    </row>
    <row r="36" spans="1:10" x14ac:dyDescent="0.3">
      <c r="A36">
        <v>2020</v>
      </c>
      <c r="B36">
        <v>7.36</v>
      </c>
      <c r="C36">
        <v>6.8000000000000007</v>
      </c>
      <c r="D36">
        <v>-1.7999999999999998</v>
      </c>
      <c r="E36">
        <v>7.3</v>
      </c>
      <c r="F36">
        <v>6.26</v>
      </c>
      <c r="G36">
        <v>4.84</v>
      </c>
      <c r="H36">
        <v>5.24</v>
      </c>
      <c r="I36">
        <v>3.4000000000000004</v>
      </c>
      <c r="J36">
        <v>7.1489999999999991</v>
      </c>
    </row>
    <row r="37" spans="1:10" x14ac:dyDescent="0.3">
      <c r="A37">
        <v>2021</v>
      </c>
      <c r="B37">
        <v>7.24</v>
      </c>
      <c r="C37">
        <v>6.8000000000000007</v>
      </c>
      <c r="D37">
        <v>-1.6799999999999997</v>
      </c>
      <c r="E37">
        <v>7.4</v>
      </c>
      <c r="F37">
        <v>6.29</v>
      </c>
      <c r="G37">
        <v>5.04</v>
      </c>
      <c r="H37">
        <v>5.17</v>
      </c>
      <c r="I37">
        <v>3.35</v>
      </c>
      <c r="J37">
        <v>7.1659999999999995</v>
      </c>
    </row>
    <row r="38" spans="1:10" x14ac:dyDescent="0.3">
      <c r="A38">
        <v>2022</v>
      </c>
      <c r="B38">
        <v>7.15</v>
      </c>
      <c r="C38">
        <v>6.7</v>
      </c>
      <c r="D38">
        <v>-1.92</v>
      </c>
      <c r="E38">
        <v>7.6</v>
      </c>
      <c r="F38">
        <v>6.34</v>
      </c>
      <c r="G38">
        <v>5</v>
      </c>
      <c r="H38">
        <v>5.21</v>
      </c>
      <c r="I38">
        <v>3.4399999999999995</v>
      </c>
      <c r="J38">
        <v>6.5640000000000001</v>
      </c>
    </row>
    <row r="39" spans="1:10" x14ac:dyDescent="0.3">
      <c r="A39">
        <v>2023</v>
      </c>
      <c r="B39">
        <v>7.33</v>
      </c>
      <c r="C39">
        <v>6.7</v>
      </c>
      <c r="D39">
        <v>-1.4</v>
      </c>
      <c r="E39">
        <v>7.6</v>
      </c>
      <c r="F39">
        <v>6.29</v>
      </c>
      <c r="G39">
        <v>5</v>
      </c>
      <c r="H39">
        <v>5.04</v>
      </c>
      <c r="I39">
        <v>3.37</v>
      </c>
      <c r="J39">
        <v>6.543000000000001</v>
      </c>
    </row>
    <row r="40" spans="1:10" x14ac:dyDescent="0.3">
      <c r="A40">
        <v>2024</v>
      </c>
      <c r="B40">
        <v>7.15</v>
      </c>
      <c r="C40">
        <v>6.5</v>
      </c>
      <c r="E40">
        <v>7.1</v>
      </c>
      <c r="F40">
        <v>6.2</v>
      </c>
      <c r="G40">
        <v>5.0599999999999996</v>
      </c>
      <c r="H40">
        <v>5.08</v>
      </c>
      <c r="I40">
        <v>3.4200000000000004</v>
      </c>
      <c r="J40">
        <v>5.8849999999999998</v>
      </c>
    </row>
    <row r="41" spans="1:10" x14ac:dyDescent="0.3">
      <c r="A41">
        <v>2025</v>
      </c>
      <c r="F41">
        <v>6.35</v>
      </c>
      <c r="J41">
        <v>5.633</v>
      </c>
    </row>
    <row r="43" spans="1:10" x14ac:dyDescent="0.3">
      <c r="A43" s="27" t="s">
        <v>351</v>
      </c>
    </row>
    <row r="44" spans="1:10" x14ac:dyDescent="0.3">
      <c r="A44" s="27" t="s">
        <v>324</v>
      </c>
      <c r="B44" s="27" t="s">
        <v>328</v>
      </c>
      <c r="C44" s="27" t="s">
        <v>327</v>
      </c>
      <c r="D44" s="27" t="s">
        <v>335</v>
      </c>
      <c r="E44" s="27" t="s">
        <v>336</v>
      </c>
      <c r="F44" s="27" t="s">
        <v>337</v>
      </c>
      <c r="G44" s="27" t="s">
        <v>338</v>
      </c>
      <c r="H44" s="27" t="s">
        <v>341</v>
      </c>
      <c r="I44" s="27" t="s">
        <v>342</v>
      </c>
      <c r="J44" s="27" t="s">
        <v>343</v>
      </c>
    </row>
    <row r="45" spans="1:10" x14ac:dyDescent="0.3">
      <c r="A45">
        <v>2015</v>
      </c>
      <c r="B45">
        <v>7.52</v>
      </c>
      <c r="C45">
        <v>6.5</v>
      </c>
      <c r="D45">
        <v>0.91999999999999993</v>
      </c>
      <c r="E45">
        <v>8.3000000000000007</v>
      </c>
      <c r="F45">
        <v>6</v>
      </c>
      <c r="G45">
        <v>6.71</v>
      </c>
      <c r="H45">
        <v>4.33</v>
      </c>
      <c r="I45">
        <v>3.46</v>
      </c>
      <c r="J45">
        <v>7.234</v>
      </c>
    </row>
    <row r="46" spans="1:10" x14ac:dyDescent="0.3">
      <c r="A46">
        <v>2016</v>
      </c>
      <c r="B46">
        <v>7.54</v>
      </c>
      <c r="C46">
        <v>6.7</v>
      </c>
      <c r="D46">
        <v>0.52</v>
      </c>
      <c r="E46">
        <v>8.1999999999999993</v>
      </c>
      <c r="F46">
        <v>6.21</v>
      </c>
      <c r="G46">
        <v>6.57</v>
      </c>
      <c r="H46">
        <v>4.1499999999999995</v>
      </c>
      <c r="I46">
        <v>3.22</v>
      </c>
      <c r="J46">
        <v>7.24</v>
      </c>
    </row>
    <row r="47" spans="1:10" x14ac:dyDescent="0.3">
      <c r="A47">
        <v>2017</v>
      </c>
      <c r="B47">
        <v>7.55</v>
      </c>
      <c r="C47">
        <v>5.6999999999999993</v>
      </c>
      <c r="D47">
        <v>0.32</v>
      </c>
      <c r="E47">
        <v>8.1999999999999993</v>
      </c>
      <c r="F47">
        <v>5.89</v>
      </c>
      <c r="G47">
        <v>6.41</v>
      </c>
      <c r="H47">
        <v>3.7800000000000002</v>
      </c>
      <c r="I47">
        <v>2.92</v>
      </c>
      <c r="J47">
        <v>7.1950000000000003</v>
      </c>
    </row>
    <row r="48" spans="1:10" x14ac:dyDescent="0.3">
      <c r="A48">
        <v>2018</v>
      </c>
      <c r="B48">
        <v>7.48</v>
      </c>
      <c r="C48">
        <v>5.6000000000000005</v>
      </c>
      <c r="D48">
        <v>0.04</v>
      </c>
      <c r="E48">
        <v>8.1000000000000014</v>
      </c>
      <c r="F48">
        <v>6.25</v>
      </c>
      <c r="G48">
        <v>6.41</v>
      </c>
      <c r="H48">
        <v>3.61</v>
      </c>
      <c r="I48">
        <v>2.84</v>
      </c>
      <c r="J48">
        <v>7.0419999999999998</v>
      </c>
    </row>
    <row r="49" spans="1:10" x14ac:dyDescent="0.3">
      <c r="A49">
        <v>2019</v>
      </c>
      <c r="B49">
        <v>7.48</v>
      </c>
      <c r="C49">
        <v>5.8999999999999995</v>
      </c>
      <c r="D49">
        <v>-0.32</v>
      </c>
      <c r="E49">
        <v>8.1000000000000014</v>
      </c>
      <c r="F49">
        <v>6.39</v>
      </c>
      <c r="G49">
        <v>6.41</v>
      </c>
      <c r="H49">
        <v>3.63</v>
      </c>
      <c r="I49">
        <v>2.79</v>
      </c>
      <c r="J49">
        <v>6.8819999999999997</v>
      </c>
    </row>
    <row r="50" spans="1:10" x14ac:dyDescent="0.3">
      <c r="A50">
        <v>2020</v>
      </c>
      <c r="B50">
        <v>7.18</v>
      </c>
      <c r="C50">
        <v>5.8</v>
      </c>
      <c r="D50">
        <v>-0.68</v>
      </c>
      <c r="E50">
        <v>8.1000000000000014</v>
      </c>
      <c r="F50">
        <v>6.6</v>
      </c>
      <c r="G50">
        <v>6.22</v>
      </c>
      <c r="H50">
        <v>3.51</v>
      </c>
      <c r="I50">
        <v>2.42</v>
      </c>
      <c r="J50">
        <v>6.8379999999999992</v>
      </c>
    </row>
    <row r="51" spans="1:10" x14ac:dyDescent="0.3">
      <c r="A51">
        <v>2021</v>
      </c>
      <c r="B51">
        <v>7.17</v>
      </c>
      <c r="C51">
        <v>5.8</v>
      </c>
      <c r="D51">
        <v>-0.36</v>
      </c>
      <c r="E51">
        <v>7.6</v>
      </c>
      <c r="F51">
        <v>6.7200000000000006</v>
      </c>
      <c r="G51">
        <v>6.36</v>
      </c>
      <c r="H51">
        <v>3.37</v>
      </c>
      <c r="I51">
        <v>2.36</v>
      </c>
      <c r="J51">
        <v>6.7969999999999997</v>
      </c>
    </row>
    <row r="52" spans="1:10" x14ac:dyDescent="0.3">
      <c r="A52">
        <v>2022</v>
      </c>
      <c r="B52">
        <v>7.08</v>
      </c>
      <c r="C52">
        <v>5.4</v>
      </c>
      <c r="D52">
        <v>-0.68</v>
      </c>
      <c r="E52">
        <v>7.6</v>
      </c>
      <c r="F52">
        <v>6.5200000000000005</v>
      </c>
      <c r="G52">
        <v>6.33</v>
      </c>
      <c r="H52">
        <v>3.59</v>
      </c>
      <c r="I52">
        <v>2.6</v>
      </c>
      <c r="J52">
        <v>6.1509999999999998</v>
      </c>
    </row>
    <row r="53" spans="1:10" x14ac:dyDescent="0.3">
      <c r="A53">
        <v>2023</v>
      </c>
      <c r="B53">
        <v>7.14</v>
      </c>
      <c r="C53">
        <v>5.2</v>
      </c>
      <c r="D53">
        <v>-0.16</v>
      </c>
      <c r="E53">
        <v>7.6</v>
      </c>
      <c r="F53">
        <v>6.35</v>
      </c>
      <c r="G53">
        <v>6.33</v>
      </c>
      <c r="H53">
        <v>3.5999999999999996</v>
      </c>
      <c r="I53">
        <v>2.4699999999999998</v>
      </c>
      <c r="J53">
        <v>5.9159999999999995</v>
      </c>
    </row>
    <row r="54" spans="1:10" x14ac:dyDescent="0.3">
      <c r="A54">
        <v>2024</v>
      </c>
      <c r="B54">
        <v>7.08</v>
      </c>
      <c r="C54">
        <v>5.3</v>
      </c>
      <c r="E54">
        <v>7.6</v>
      </c>
      <c r="F54">
        <v>6.2700000000000005</v>
      </c>
      <c r="G54">
        <v>6.26</v>
      </c>
      <c r="H54">
        <v>3.15</v>
      </c>
      <c r="I54">
        <v>2.2000000000000002</v>
      </c>
      <c r="J54">
        <v>5.4479999999999995</v>
      </c>
    </row>
    <row r="55" spans="1:10" x14ac:dyDescent="0.3">
      <c r="A55">
        <v>2025</v>
      </c>
      <c r="F55">
        <v>6.44</v>
      </c>
      <c r="J55">
        <v>5.3549999999999995</v>
      </c>
    </row>
    <row r="57" spans="1:10" x14ac:dyDescent="0.3">
      <c r="A57" s="27" t="s">
        <v>352</v>
      </c>
    </row>
    <row r="58" spans="1:10" x14ac:dyDescent="0.3">
      <c r="A58" s="27" t="s">
        <v>324</v>
      </c>
      <c r="B58" s="27" t="s">
        <v>328</v>
      </c>
      <c r="C58" s="27" t="s">
        <v>327</v>
      </c>
      <c r="D58" s="27" t="s">
        <v>335</v>
      </c>
      <c r="E58" s="27" t="s">
        <v>336</v>
      </c>
      <c r="F58" s="27" t="s">
        <v>337</v>
      </c>
      <c r="G58" s="27" t="s">
        <v>338</v>
      </c>
      <c r="H58" s="27" t="s">
        <v>341</v>
      </c>
      <c r="I58" s="27" t="s">
        <v>342</v>
      </c>
      <c r="J58" s="27" t="s">
        <v>343</v>
      </c>
    </row>
    <row r="59" spans="1:10" x14ac:dyDescent="0.3">
      <c r="A59">
        <v>2015</v>
      </c>
      <c r="B59">
        <v>7.32</v>
      </c>
      <c r="C59">
        <v>6.2</v>
      </c>
      <c r="D59">
        <v>-1.1599999999999999</v>
      </c>
      <c r="E59">
        <v>6.4</v>
      </c>
      <c r="F59">
        <v>6.7099999999999991</v>
      </c>
      <c r="G59">
        <v>6.02</v>
      </c>
      <c r="H59">
        <v>4.43</v>
      </c>
      <c r="I59">
        <v>2.68</v>
      </c>
      <c r="J59">
        <v>6.3740000000000006</v>
      </c>
    </row>
    <row r="60" spans="1:10" x14ac:dyDescent="0.3">
      <c r="A60">
        <v>2016</v>
      </c>
      <c r="B60">
        <v>7.28</v>
      </c>
      <c r="C60">
        <v>5.6000000000000005</v>
      </c>
      <c r="D60">
        <v>-1.44</v>
      </c>
      <c r="E60">
        <v>6.6000000000000005</v>
      </c>
      <c r="F60">
        <v>6.75</v>
      </c>
      <c r="G60">
        <v>5.23</v>
      </c>
      <c r="H60">
        <v>4.5200000000000005</v>
      </c>
      <c r="I60">
        <v>2.7800000000000002</v>
      </c>
      <c r="J60">
        <v>6.391</v>
      </c>
    </row>
    <row r="61" spans="1:10" x14ac:dyDescent="0.3">
      <c r="A61">
        <v>2017</v>
      </c>
      <c r="B61">
        <v>7.55</v>
      </c>
      <c r="C61">
        <v>6.8000000000000007</v>
      </c>
      <c r="D61">
        <v>-1.04</v>
      </c>
      <c r="E61">
        <v>8.5</v>
      </c>
      <c r="F61">
        <v>7.07</v>
      </c>
      <c r="G61">
        <v>5.57</v>
      </c>
      <c r="H61">
        <v>5.49</v>
      </c>
      <c r="I61">
        <v>3.83</v>
      </c>
      <c r="J61">
        <v>6.4260000000000002</v>
      </c>
    </row>
    <row r="62" spans="1:10" x14ac:dyDescent="0.3">
      <c r="A62">
        <v>2018</v>
      </c>
      <c r="B62">
        <v>7.45</v>
      </c>
      <c r="C62">
        <v>6.6000000000000005</v>
      </c>
      <c r="D62">
        <v>-0.83999999999999986</v>
      </c>
      <c r="E62">
        <v>8.5</v>
      </c>
      <c r="F62">
        <v>7.13</v>
      </c>
      <c r="G62">
        <v>5.87</v>
      </c>
      <c r="H62">
        <v>5.7399999999999993</v>
      </c>
      <c r="I62">
        <v>3.9000000000000004</v>
      </c>
      <c r="J62">
        <v>6.7569999999999997</v>
      </c>
    </row>
    <row r="63" spans="1:10" x14ac:dyDescent="0.3">
      <c r="A63">
        <v>2019</v>
      </c>
      <c r="B63">
        <v>7.64</v>
      </c>
      <c r="C63">
        <v>6.7</v>
      </c>
      <c r="D63">
        <v>0.04</v>
      </c>
      <c r="E63">
        <v>8.5</v>
      </c>
      <c r="F63">
        <v>7.1099999999999994</v>
      </c>
      <c r="G63">
        <v>5.97</v>
      </c>
      <c r="H63">
        <v>6.06</v>
      </c>
      <c r="I63">
        <v>4.1399999999999997</v>
      </c>
      <c r="J63">
        <v>6.8340000000000005</v>
      </c>
    </row>
    <row r="64" spans="1:10" x14ac:dyDescent="0.3">
      <c r="A64">
        <v>2020</v>
      </c>
      <c r="B64">
        <v>7.61</v>
      </c>
      <c r="C64">
        <v>6.6000000000000005</v>
      </c>
      <c r="D64">
        <v>0.43999999999999995</v>
      </c>
      <c r="E64">
        <v>8.5</v>
      </c>
      <c r="F64">
        <v>6.95</v>
      </c>
      <c r="G64">
        <v>5.89</v>
      </c>
      <c r="H64">
        <v>6.01</v>
      </c>
      <c r="I64">
        <v>4.04</v>
      </c>
      <c r="J64">
        <v>6.8719999999999999</v>
      </c>
    </row>
    <row r="65" spans="1:10" x14ac:dyDescent="0.3">
      <c r="A65">
        <v>2021</v>
      </c>
      <c r="B65">
        <v>7.61</v>
      </c>
      <c r="C65">
        <v>6.7</v>
      </c>
      <c r="D65">
        <v>0.24</v>
      </c>
      <c r="E65">
        <v>8.4</v>
      </c>
      <c r="F65">
        <v>6.8599999999999994</v>
      </c>
      <c r="G65">
        <v>6.03</v>
      </c>
      <c r="H65">
        <v>5.8699999999999992</v>
      </c>
      <c r="I65">
        <v>3.89</v>
      </c>
      <c r="J65">
        <v>6.8330000000000002</v>
      </c>
    </row>
    <row r="66" spans="1:10" x14ac:dyDescent="0.3">
      <c r="A66">
        <v>2022</v>
      </c>
      <c r="B66">
        <v>7.61</v>
      </c>
      <c r="C66">
        <v>6.5</v>
      </c>
      <c r="D66">
        <v>0.72</v>
      </c>
      <c r="E66">
        <v>8.1999999999999993</v>
      </c>
      <c r="F66">
        <v>6.57</v>
      </c>
      <c r="G66">
        <v>6.1</v>
      </c>
      <c r="H66">
        <v>5.620000000000001</v>
      </c>
      <c r="I66">
        <v>3.75</v>
      </c>
      <c r="J66">
        <v>6.8439999999999994</v>
      </c>
    </row>
    <row r="67" spans="1:10" x14ac:dyDescent="0.3">
      <c r="A67">
        <v>2023</v>
      </c>
      <c r="B67">
        <v>7.64</v>
      </c>
      <c r="C67">
        <v>6.7</v>
      </c>
      <c r="D67">
        <v>0.68</v>
      </c>
      <c r="E67">
        <v>7.8000000000000007</v>
      </c>
      <c r="F67">
        <v>6.37</v>
      </c>
      <c r="G67">
        <v>6.03</v>
      </c>
      <c r="H67">
        <v>5.68</v>
      </c>
      <c r="I67">
        <v>3.66</v>
      </c>
      <c r="J67">
        <v>7.4349999999999996</v>
      </c>
    </row>
    <row r="68" spans="1:10" x14ac:dyDescent="0.3">
      <c r="A68">
        <v>2024</v>
      </c>
      <c r="B68">
        <v>7.61</v>
      </c>
      <c r="C68">
        <v>6</v>
      </c>
      <c r="E68">
        <v>7.4</v>
      </c>
      <c r="F68">
        <v>6.14</v>
      </c>
      <c r="G68">
        <v>6.28</v>
      </c>
      <c r="H68">
        <v>5.629999999999999</v>
      </c>
      <c r="I68">
        <v>3.74</v>
      </c>
      <c r="J68">
        <v>7.3780000000000001</v>
      </c>
    </row>
    <row r="69" spans="1:10" x14ac:dyDescent="0.3">
      <c r="A69">
        <v>2025</v>
      </c>
      <c r="F69">
        <v>6.32</v>
      </c>
      <c r="J69">
        <v>7.0439999999999996</v>
      </c>
    </row>
    <row r="71" spans="1:10" x14ac:dyDescent="0.3">
      <c r="A71" s="27" t="s">
        <v>353</v>
      </c>
    </row>
    <row r="72" spans="1:10" x14ac:dyDescent="0.3">
      <c r="A72" s="27" t="s">
        <v>324</v>
      </c>
      <c r="B72" s="27" t="s">
        <v>328</v>
      </c>
      <c r="C72" s="27" t="s">
        <v>327</v>
      </c>
      <c r="D72" s="27" t="s">
        <v>335</v>
      </c>
      <c r="E72" s="27" t="s">
        <v>336</v>
      </c>
      <c r="F72" s="27" t="s">
        <v>337</v>
      </c>
      <c r="G72" s="27" t="s">
        <v>338</v>
      </c>
      <c r="H72" s="27" t="s">
        <v>341</v>
      </c>
      <c r="I72" s="27" t="s">
        <v>342</v>
      </c>
      <c r="J72" s="27" t="s">
        <v>343</v>
      </c>
    </row>
    <row r="73" spans="1:10" x14ac:dyDescent="0.3">
      <c r="A73">
        <v>2015</v>
      </c>
      <c r="B73">
        <v>7.89</v>
      </c>
      <c r="C73">
        <v>5.7</v>
      </c>
      <c r="D73">
        <v>2.96</v>
      </c>
      <c r="E73">
        <v>5.3</v>
      </c>
      <c r="F73">
        <v>6.68</v>
      </c>
      <c r="G73">
        <v>6.84</v>
      </c>
      <c r="H73">
        <v>6.16</v>
      </c>
      <c r="I73">
        <v>4.7799999999999994</v>
      </c>
      <c r="J73">
        <v>7.2560000000000002</v>
      </c>
    </row>
    <row r="74" spans="1:10" x14ac:dyDescent="0.3">
      <c r="A74">
        <v>2016</v>
      </c>
      <c r="B74">
        <v>7.94</v>
      </c>
      <c r="C74">
        <v>5.8</v>
      </c>
      <c r="D74">
        <v>2.56</v>
      </c>
      <c r="E74">
        <v>5.3000000000000007</v>
      </c>
      <c r="F74">
        <v>6.6</v>
      </c>
      <c r="G74">
        <v>6.72</v>
      </c>
      <c r="H74">
        <v>6.07</v>
      </c>
      <c r="I74">
        <v>4.71</v>
      </c>
      <c r="J74">
        <v>7.1829999999999998</v>
      </c>
    </row>
    <row r="75" spans="1:10" x14ac:dyDescent="0.3">
      <c r="A75">
        <v>2017</v>
      </c>
      <c r="B75">
        <v>7.74</v>
      </c>
      <c r="C75">
        <v>5.8</v>
      </c>
      <c r="D75">
        <v>3.2</v>
      </c>
      <c r="E75">
        <v>4.9000000000000004</v>
      </c>
      <c r="F75">
        <v>6.58</v>
      </c>
      <c r="G75">
        <v>6.64</v>
      </c>
      <c r="H75">
        <v>5.5900000000000007</v>
      </c>
      <c r="I75">
        <v>4.3499999999999996</v>
      </c>
      <c r="J75">
        <v>7.0989999999999993</v>
      </c>
    </row>
    <row r="76" spans="1:10" x14ac:dyDescent="0.3">
      <c r="A76">
        <v>2018</v>
      </c>
      <c r="B76">
        <v>7.66</v>
      </c>
      <c r="C76">
        <v>5.6000000000000005</v>
      </c>
      <c r="D76">
        <v>2.96</v>
      </c>
      <c r="E76">
        <v>4.5</v>
      </c>
      <c r="F76">
        <v>6.67</v>
      </c>
      <c r="G76">
        <v>6.63</v>
      </c>
      <c r="H76">
        <v>4.83</v>
      </c>
      <c r="I76">
        <v>3.73</v>
      </c>
      <c r="J76">
        <v>7.0890000000000004</v>
      </c>
    </row>
    <row r="77" spans="1:10" x14ac:dyDescent="0.3">
      <c r="A77">
        <v>2019</v>
      </c>
      <c r="B77">
        <v>7.62</v>
      </c>
      <c r="C77">
        <v>5.6000000000000005</v>
      </c>
      <c r="D77">
        <v>3.04</v>
      </c>
      <c r="E77">
        <v>4.3</v>
      </c>
      <c r="F77">
        <v>6.5</v>
      </c>
      <c r="G77">
        <v>6.63</v>
      </c>
      <c r="H77">
        <v>4.71</v>
      </c>
      <c r="I77">
        <v>3.6399999999999997</v>
      </c>
      <c r="J77">
        <v>6.9560000000000004</v>
      </c>
    </row>
    <row r="78" spans="1:10" x14ac:dyDescent="0.3">
      <c r="A78">
        <v>2020</v>
      </c>
      <c r="B78">
        <v>7.22</v>
      </c>
      <c r="C78">
        <v>5.6000000000000005</v>
      </c>
      <c r="D78">
        <v>3.3599999999999994</v>
      </c>
      <c r="E78">
        <v>4</v>
      </c>
      <c r="F78">
        <v>6.6400000000000006</v>
      </c>
      <c r="G78">
        <v>6.56</v>
      </c>
      <c r="H78">
        <v>4.6800000000000006</v>
      </c>
      <c r="I78">
        <v>3.58</v>
      </c>
      <c r="J78">
        <v>6.9159999999999995</v>
      </c>
    </row>
    <row r="79" spans="1:10" x14ac:dyDescent="0.3">
      <c r="A79">
        <v>2021</v>
      </c>
      <c r="B79">
        <v>7.24</v>
      </c>
      <c r="C79">
        <v>5.6000000000000005</v>
      </c>
      <c r="D79">
        <v>3.2</v>
      </c>
      <c r="E79">
        <v>3.7</v>
      </c>
      <c r="F79">
        <v>6.7200000000000006</v>
      </c>
      <c r="G79">
        <v>6.5</v>
      </c>
      <c r="H79">
        <v>4.5200000000000005</v>
      </c>
      <c r="I79">
        <v>3.4499999999999997</v>
      </c>
      <c r="J79">
        <v>6.8239999999999998</v>
      </c>
    </row>
    <row r="80" spans="1:10" x14ac:dyDescent="0.3">
      <c r="A80">
        <v>2022</v>
      </c>
      <c r="B80">
        <v>7.44</v>
      </c>
      <c r="C80">
        <v>5.5</v>
      </c>
      <c r="D80">
        <v>2.72</v>
      </c>
      <c r="E80">
        <v>3.4000000000000004</v>
      </c>
      <c r="F80">
        <v>6.69</v>
      </c>
      <c r="G80">
        <v>6.64</v>
      </c>
      <c r="H80">
        <v>4.5200000000000005</v>
      </c>
      <c r="I80">
        <v>3.35</v>
      </c>
      <c r="J80">
        <v>5.9799999999999995</v>
      </c>
    </row>
    <row r="81" spans="1:10" x14ac:dyDescent="0.3">
      <c r="A81">
        <v>2023</v>
      </c>
      <c r="B81">
        <v>7.24</v>
      </c>
      <c r="C81">
        <v>5</v>
      </c>
      <c r="D81">
        <v>2.92</v>
      </c>
      <c r="E81">
        <v>3.3</v>
      </c>
      <c r="F81">
        <v>6.4099999999999993</v>
      </c>
      <c r="G81">
        <v>6.72</v>
      </c>
      <c r="H81">
        <v>4.37</v>
      </c>
      <c r="I81">
        <v>3.23</v>
      </c>
      <c r="J81">
        <v>6.2960000000000003</v>
      </c>
    </row>
    <row r="82" spans="1:10" x14ac:dyDescent="0.3">
      <c r="A82">
        <v>2024</v>
      </c>
      <c r="B82">
        <v>7.44</v>
      </c>
      <c r="C82">
        <v>4.4000000000000004</v>
      </c>
      <c r="E82">
        <v>3</v>
      </c>
      <c r="F82">
        <v>6.12</v>
      </c>
      <c r="G82">
        <v>6.51</v>
      </c>
      <c r="H82">
        <v>4.3600000000000003</v>
      </c>
      <c r="I82">
        <v>3.18</v>
      </c>
      <c r="J82">
        <v>6.2679999999999998</v>
      </c>
    </row>
    <row r="83" spans="1:10" x14ac:dyDescent="0.3">
      <c r="A83">
        <v>2025</v>
      </c>
      <c r="F83">
        <v>6.14</v>
      </c>
      <c r="J83">
        <v>6.282</v>
      </c>
    </row>
    <row r="85" spans="1:10" x14ac:dyDescent="0.3">
      <c r="A85" s="27" t="s">
        <v>354</v>
      </c>
    </row>
    <row r="86" spans="1:10" x14ac:dyDescent="0.3">
      <c r="A86" s="27" t="s">
        <v>324</v>
      </c>
      <c r="B86" s="27" t="s">
        <v>328</v>
      </c>
      <c r="C86" s="27" t="s">
        <v>327</v>
      </c>
      <c r="D86" s="27" t="s">
        <v>335</v>
      </c>
      <c r="E86" s="27" t="s">
        <v>336</v>
      </c>
      <c r="F86" s="27" t="s">
        <v>337</v>
      </c>
      <c r="G86" s="27" t="s">
        <v>338</v>
      </c>
      <c r="H86" s="27" t="s">
        <v>341</v>
      </c>
      <c r="I86" s="27" t="s">
        <v>342</v>
      </c>
      <c r="J86" s="27" t="s">
        <v>343</v>
      </c>
    </row>
    <row r="87" spans="1:10" x14ac:dyDescent="0.3">
      <c r="A87">
        <v>2015</v>
      </c>
      <c r="B87">
        <v>7.81</v>
      </c>
      <c r="C87">
        <v>7.3</v>
      </c>
      <c r="D87">
        <v>0.56000000000000005</v>
      </c>
      <c r="E87">
        <v>6.4</v>
      </c>
      <c r="F87">
        <v>6.4700000000000006</v>
      </c>
      <c r="G87">
        <v>6.01</v>
      </c>
      <c r="H87">
        <v>4.66</v>
      </c>
      <c r="I87">
        <v>3.75</v>
      </c>
      <c r="J87">
        <v>6.5370000000000008</v>
      </c>
    </row>
    <row r="88" spans="1:10" x14ac:dyDescent="0.3">
      <c r="A88">
        <v>2016</v>
      </c>
      <c r="B88">
        <v>7.92</v>
      </c>
      <c r="C88">
        <v>7.3</v>
      </c>
      <c r="D88">
        <v>1.08</v>
      </c>
      <c r="E88">
        <v>6.3</v>
      </c>
      <c r="F88">
        <v>6.49</v>
      </c>
      <c r="G88">
        <v>5.72</v>
      </c>
      <c r="H88">
        <v>4.6400000000000006</v>
      </c>
      <c r="I88">
        <v>3.69</v>
      </c>
      <c r="J88">
        <v>6.7209999999999992</v>
      </c>
    </row>
    <row r="89" spans="1:10" x14ac:dyDescent="0.3">
      <c r="A89">
        <v>2017</v>
      </c>
      <c r="B89">
        <v>7.69</v>
      </c>
      <c r="C89">
        <v>7.7</v>
      </c>
      <c r="D89">
        <v>-0.24</v>
      </c>
      <c r="E89">
        <v>6.4</v>
      </c>
      <c r="F89">
        <v>6.2</v>
      </c>
      <c r="G89">
        <v>5.69</v>
      </c>
      <c r="H89">
        <v>4.54</v>
      </c>
      <c r="I89">
        <v>3.59</v>
      </c>
      <c r="J89">
        <v>6.6349999999999998</v>
      </c>
    </row>
    <row r="90" spans="1:10" x14ac:dyDescent="0.3">
      <c r="A90">
        <v>2018</v>
      </c>
      <c r="B90">
        <v>7.74</v>
      </c>
      <c r="C90">
        <v>7.1999999999999993</v>
      </c>
      <c r="D90">
        <v>0.16</v>
      </c>
      <c r="E90">
        <v>6.4</v>
      </c>
      <c r="F90">
        <v>6.43</v>
      </c>
      <c r="G90">
        <v>5.74</v>
      </c>
      <c r="H90">
        <v>4.63</v>
      </c>
      <c r="I90">
        <v>3.5999999999999996</v>
      </c>
      <c r="J90">
        <v>6.8790000000000004</v>
      </c>
    </row>
    <row r="91" spans="1:10" x14ac:dyDescent="0.3">
      <c r="A91">
        <v>2019</v>
      </c>
      <c r="B91">
        <v>7.77</v>
      </c>
      <c r="C91">
        <v>7.3</v>
      </c>
      <c r="D91">
        <v>0.24</v>
      </c>
      <c r="E91">
        <v>6.4</v>
      </c>
      <c r="F91">
        <v>6.05</v>
      </c>
      <c r="G91">
        <v>5.65</v>
      </c>
      <c r="H91">
        <v>4.6100000000000003</v>
      </c>
      <c r="I91">
        <v>3.59</v>
      </c>
      <c r="J91">
        <v>6.7260000000000009</v>
      </c>
    </row>
    <row r="92" spans="1:10" x14ac:dyDescent="0.3">
      <c r="A92">
        <v>2020</v>
      </c>
      <c r="B92">
        <v>7.4</v>
      </c>
      <c r="C92">
        <v>7.5</v>
      </c>
      <c r="D92">
        <v>-0.24</v>
      </c>
      <c r="E92">
        <v>6.8999999999999995</v>
      </c>
      <c r="F92">
        <v>6.15</v>
      </c>
      <c r="G92">
        <v>5.77</v>
      </c>
      <c r="H92">
        <v>4.79</v>
      </c>
      <c r="I92">
        <v>3.7800000000000002</v>
      </c>
      <c r="J92">
        <v>6.617</v>
      </c>
    </row>
    <row r="93" spans="1:10" x14ac:dyDescent="0.3">
      <c r="A93">
        <v>2021</v>
      </c>
      <c r="B93">
        <v>7.7</v>
      </c>
      <c r="C93">
        <v>6.8999999999999995</v>
      </c>
      <c r="D93">
        <v>-0.2</v>
      </c>
      <c r="E93">
        <v>8</v>
      </c>
      <c r="F93">
        <v>6.34</v>
      </c>
      <c r="G93">
        <v>6.02</v>
      </c>
      <c r="H93">
        <v>5.19</v>
      </c>
      <c r="I93">
        <v>4.17</v>
      </c>
      <c r="J93">
        <v>6.5670000000000002</v>
      </c>
    </row>
    <row r="94" spans="1:10" x14ac:dyDescent="0.3">
      <c r="A94">
        <v>2022</v>
      </c>
      <c r="B94">
        <v>7.77</v>
      </c>
      <c r="C94">
        <v>6.8000000000000007</v>
      </c>
      <c r="D94">
        <v>-0.56000000000000005</v>
      </c>
      <c r="E94">
        <v>8.1999999999999993</v>
      </c>
      <c r="F94">
        <v>5.7799999999999994</v>
      </c>
      <c r="G94">
        <v>6.45</v>
      </c>
      <c r="H94">
        <v>5.15</v>
      </c>
      <c r="I94">
        <v>4.1499999999999995</v>
      </c>
      <c r="J94">
        <v>6.6540000000000008</v>
      </c>
    </row>
    <row r="95" spans="1:10" x14ac:dyDescent="0.3">
      <c r="A95">
        <v>2023</v>
      </c>
      <c r="B95">
        <v>7.8</v>
      </c>
      <c r="C95">
        <v>6.6000000000000005</v>
      </c>
      <c r="D95">
        <v>0.28000000000000003</v>
      </c>
      <c r="E95">
        <v>8.1999999999999993</v>
      </c>
      <c r="F95">
        <v>6.09</v>
      </c>
      <c r="G95">
        <v>6.67</v>
      </c>
      <c r="H95">
        <v>5.8699999999999992</v>
      </c>
      <c r="I95">
        <v>4.71</v>
      </c>
      <c r="J95">
        <v>7.4279999999999999</v>
      </c>
    </row>
    <row r="96" spans="1:10" x14ac:dyDescent="0.3">
      <c r="A96">
        <v>2024</v>
      </c>
      <c r="B96">
        <v>7.77</v>
      </c>
      <c r="C96">
        <v>7.2</v>
      </c>
      <c r="E96">
        <v>8.1999999999999993</v>
      </c>
      <c r="F96">
        <v>5.9700000000000006</v>
      </c>
      <c r="G96">
        <v>6.73</v>
      </c>
      <c r="H96">
        <v>6.15</v>
      </c>
      <c r="I96">
        <v>4.7799999999999994</v>
      </c>
      <c r="J96">
        <v>7.3209999999999997</v>
      </c>
    </row>
    <row r="97" spans="1:10" x14ac:dyDescent="0.3">
      <c r="A97">
        <v>2025</v>
      </c>
      <c r="F97">
        <v>6.38</v>
      </c>
      <c r="J97">
        <v>7.2829999999999995</v>
      </c>
    </row>
    <row r="99" spans="1:10" x14ac:dyDescent="0.3">
      <c r="A99" s="27" t="s">
        <v>355</v>
      </c>
    </row>
    <row r="100" spans="1:10" x14ac:dyDescent="0.3">
      <c r="A100" s="27" t="s">
        <v>324</v>
      </c>
      <c r="B100" s="27" t="s">
        <v>328</v>
      </c>
      <c r="C100" s="27" t="s">
        <v>327</v>
      </c>
      <c r="D100" s="27" t="s">
        <v>335</v>
      </c>
      <c r="E100" s="27" t="s">
        <v>336</v>
      </c>
      <c r="F100" s="27" t="s">
        <v>337</v>
      </c>
      <c r="G100" s="27" t="s">
        <v>338</v>
      </c>
      <c r="H100" s="27" t="s">
        <v>341</v>
      </c>
      <c r="I100" s="27" t="s">
        <v>342</v>
      </c>
      <c r="J100" s="27" t="s">
        <v>343</v>
      </c>
    </row>
    <row r="101" spans="1:10" x14ac:dyDescent="0.3">
      <c r="A101">
        <v>2015</v>
      </c>
      <c r="B101">
        <v>7.99</v>
      </c>
      <c r="C101">
        <v>6.1</v>
      </c>
      <c r="D101">
        <v>1.36</v>
      </c>
      <c r="E101">
        <v>8.6</v>
      </c>
      <c r="F101">
        <v>6.57</v>
      </c>
      <c r="G101">
        <v>5.91</v>
      </c>
      <c r="H101">
        <v>5.24</v>
      </c>
      <c r="I101">
        <v>4.42</v>
      </c>
      <c r="J101">
        <v>7.1230000000000002</v>
      </c>
    </row>
    <row r="102" spans="1:10" x14ac:dyDescent="0.3">
      <c r="A102">
        <v>2016</v>
      </c>
      <c r="B102">
        <v>8.01</v>
      </c>
      <c r="C102">
        <v>6.2</v>
      </c>
      <c r="D102">
        <v>1.36</v>
      </c>
      <c r="E102">
        <v>8.6</v>
      </c>
      <c r="F102">
        <v>6.5900000000000007</v>
      </c>
      <c r="G102">
        <v>5.91</v>
      </c>
      <c r="H102">
        <v>5.23</v>
      </c>
      <c r="I102">
        <v>4.41</v>
      </c>
      <c r="J102">
        <v>7.008</v>
      </c>
    </row>
    <row r="103" spans="1:10" x14ac:dyDescent="0.3">
      <c r="A103">
        <v>2017</v>
      </c>
      <c r="B103">
        <v>8.0399999999999991</v>
      </c>
      <c r="C103">
        <v>6.2</v>
      </c>
      <c r="D103">
        <v>1.48</v>
      </c>
      <c r="E103">
        <v>8.6</v>
      </c>
      <c r="F103">
        <v>6.44</v>
      </c>
      <c r="G103">
        <v>5.98</v>
      </c>
      <c r="H103">
        <v>5.37</v>
      </c>
      <c r="I103">
        <v>4.4000000000000004</v>
      </c>
      <c r="J103">
        <v>7.008</v>
      </c>
    </row>
    <row r="104" spans="1:10" x14ac:dyDescent="0.3">
      <c r="A104">
        <v>2018</v>
      </c>
      <c r="B104">
        <v>8.0299999999999994</v>
      </c>
      <c r="C104">
        <v>6.1</v>
      </c>
      <c r="D104">
        <v>1.48</v>
      </c>
      <c r="E104">
        <v>8.6</v>
      </c>
      <c r="F104">
        <v>6.45</v>
      </c>
      <c r="G104">
        <v>5.98</v>
      </c>
      <c r="H104">
        <v>5.23</v>
      </c>
      <c r="I104">
        <v>4.32</v>
      </c>
      <c r="J104">
        <v>7.0510000000000002</v>
      </c>
    </row>
    <row r="105" spans="1:10" x14ac:dyDescent="0.3">
      <c r="A105">
        <v>2019</v>
      </c>
      <c r="B105">
        <v>8.0299999999999994</v>
      </c>
      <c r="C105">
        <v>6.4</v>
      </c>
      <c r="D105">
        <v>0.43999999999999995</v>
      </c>
      <c r="E105">
        <v>8.5</v>
      </c>
      <c r="F105">
        <v>6.65</v>
      </c>
      <c r="G105">
        <v>5.89</v>
      </c>
      <c r="H105">
        <v>5.12</v>
      </c>
      <c r="I105">
        <v>4.24</v>
      </c>
      <c r="J105">
        <v>7.016</v>
      </c>
    </row>
    <row r="106" spans="1:10" x14ac:dyDescent="0.3">
      <c r="A106">
        <v>2020</v>
      </c>
      <c r="B106">
        <v>7.66</v>
      </c>
      <c r="C106">
        <v>7</v>
      </c>
      <c r="D106">
        <v>0.36</v>
      </c>
      <c r="E106">
        <v>8.1999999999999993</v>
      </c>
      <c r="F106">
        <v>6.69</v>
      </c>
      <c r="G106">
        <v>6.08</v>
      </c>
      <c r="H106">
        <v>5.26</v>
      </c>
      <c r="I106">
        <v>4.4000000000000004</v>
      </c>
      <c r="J106">
        <v>6.9749999999999996</v>
      </c>
    </row>
    <row r="107" spans="1:10" x14ac:dyDescent="0.3">
      <c r="A107">
        <v>2021</v>
      </c>
      <c r="B107">
        <v>7.67</v>
      </c>
      <c r="C107">
        <v>7</v>
      </c>
      <c r="D107">
        <v>0.8</v>
      </c>
      <c r="E107">
        <v>8.1999999999999993</v>
      </c>
      <c r="F107">
        <v>6.5200000000000005</v>
      </c>
      <c r="G107">
        <v>6.11</v>
      </c>
      <c r="H107">
        <v>5.25</v>
      </c>
      <c r="I107">
        <v>4.38</v>
      </c>
      <c r="J107">
        <v>6.9409999999999998</v>
      </c>
    </row>
    <row r="108" spans="1:10" x14ac:dyDescent="0.3">
      <c r="A108">
        <v>2022</v>
      </c>
      <c r="B108">
        <v>7.92</v>
      </c>
      <c r="C108">
        <v>6.8000000000000007</v>
      </c>
      <c r="D108">
        <v>0.43999999999999995</v>
      </c>
      <c r="E108">
        <v>8.1999999999999993</v>
      </c>
      <c r="F108">
        <v>6.6599999999999993</v>
      </c>
      <c r="G108">
        <v>6.41</v>
      </c>
      <c r="H108">
        <v>5.2</v>
      </c>
      <c r="I108">
        <v>4.33</v>
      </c>
      <c r="J108">
        <v>5.641</v>
      </c>
    </row>
    <row r="109" spans="1:10" x14ac:dyDescent="0.3">
      <c r="A109">
        <v>2023</v>
      </c>
      <c r="B109">
        <v>7.67</v>
      </c>
      <c r="C109">
        <v>7</v>
      </c>
      <c r="D109">
        <v>0.72</v>
      </c>
      <c r="E109">
        <v>6.8000000000000007</v>
      </c>
      <c r="F109">
        <v>6.5299999999999994</v>
      </c>
      <c r="G109">
        <v>6.28</v>
      </c>
      <c r="H109">
        <v>5.07</v>
      </c>
      <c r="I109">
        <v>3.9800000000000004</v>
      </c>
      <c r="J109">
        <v>5.7859999999999996</v>
      </c>
    </row>
    <row r="110" spans="1:10" x14ac:dyDescent="0.3">
      <c r="A110">
        <v>2024</v>
      </c>
      <c r="B110">
        <v>7.92</v>
      </c>
      <c r="C110">
        <v>6.4</v>
      </c>
      <c r="E110">
        <v>7.8</v>
      </c>
      <c r="F110">
        <v>6.4799999999999995</v>
      </c>
      <c r="G110">
        <v>6.2</v>
      </c>
      <c r="H110">
        <v>5.07</v>
      </c>
      <c r="I110">
        <v>3.96</v>
      </c>
      <c r="J110">
        <v>5.41</v>
      </c>
    </row>
    <row r="111" spans="1:10" x14ac:dyDescent="0.3">
      <c r="A111">
        <v>2025</v>
      </c>
      <c r="F111">
        <v>6.6599999999999993</v>
      </c>
      <c r="J111">
        <v>5.8179999999999996</v>
      </c>
    </row>
    <row r="113" spans="1:10" x14ac:dyDescent="0.3">
      <c r="A113" s="27" t="s">
        <v>356</v>
      </c>
    </row>
    <row r="114" spans="1:10" x14ac:dyDescent="0.3">
      <c r="A114" s="27" t="s">
        <v>324</v>
      </c>
      <c r="B114" s="27" t="s">
        <v>328</v>
      </c>
      <c r="C114" s="27" t="s">
        <v>327</v>
      </c>
      <c r="D114" s="27" t="s">
        <v>335</v>
      </c>
      <c r="E114" s="27" t="s">
        <v>336</v>
      </c>
      <c r="F114" s="27" t="s">
        <v>337</v>
      </c>
      <c r="G114" s="27" t="s">
        <v>338</v>
      </c>
      <c r="H114" s="27" t="s">
        <v>341</v>
      </c>
      <c r="I114" s="27" t="s">
        <v>342</v>
      </c>
      <c r="J114" s="27" t="s">
        <v>343</v>
      </c>
    </row>
    <row r="115" spans="1:10" x14ac:dyDescent="0.3">
      <c r="A115">
        <v>2015</v>
      </c>
      <c r="B115" s="58">
        <f>(B3+B17+B31+B45+B59+B73+B87+B101)/7</f>
        <v>8.93</v>
      </c>
      <c r="C115" s="58">
        <f>(C3+C17+C31+C45+C59+C73+C87+C101)/7</f>
        <v>7.8571428571428568</v>
      </c>
      <c r="D115" s="58"/>
      <c r="E115" s="58">
        <f t="shared" ref="E115:J115" si="0">(E3+E17+E31+E45+E59+E73+E87+E101)/7</f>
        <v>8.6428571428571423</v>
      </c>
      <c r="F115" s="58">
        <f t="shared" si="0"/>
        <v>7.2157142857142853</v>
      </c>
      <c r="G115" s="58">
        <f t="shared" si="0"/>
        <v>7.2600000000000007</v>
      </c>
      <c r="H115" s="58">
        <f t="shared" si="0"/>
        <v>6.7471428571428564</v>
      </c>
      <c r="I115" s="58">
        <f t="shared" si="0"/>
        <v>5.410000000000001</v>
      </c>
      <c r="J115" s="58">
        <f t="shared" si="0"/>
        <v>8.1579999999999995</v>
      </c>
    </row>
    <row r="116" spans="1:10" x14ac:dyDescent="0.3">
      <c r="A116">
        <v>2016</v>
      </c>
      <c r="B116" s="58">
        <f t="shared" ref="B116:C124" si="1">(B4+B18+B32+B46+B60+B74+B88+B102)/7</f>
        <v>8.9414285714285704</v>
      </c>
      <c r="C116" s="58">
        <f t="shared" si="1"/>
        <v>7.742857142857142</v>
      </c>
      <c r="D116" s="58">
        <f t="shared" ref="D116:J116" si="2">(D4+D18+D32+D46+D60+D74+D88+D102)/7</f>
        <v>1.2857142857142858</v>
      </c>
      <c r="E116" s="58">
        <f t="shared" si="2"/>
        <v>8.6285714285714281</v>
      </c>
      <c r="F116" s="58">
        <f t="shared" si="2"/>
        <v>7.2100000000000009</v>
      </c>
      <c r="G116" s="58">
        <f t="shared" si="2"/>
        <v>7.04</v>
      </c>
      <c r="H116" s="58">
        <f t="shared" si="2"/>
        <v>6.6314285714285717</v>
      </c>
      <c r="I116" s="58">
        <f t="shared" si="2"/>
        <v>5.2771428571428567</v>
      </c>
      <c r="J116" s="58">
        <f t="shared" si="2"/>
        <v>8.0972857142857144</v>
      </c>
    </row>
    <row r="117" spans="1:10" x14ac:dyDescent="0.3">
      <c r="A117">
        <v>2017</v>
      </c>
      <c r="B117" s="58">
        <f t="shared" si="1"/>
        <v>8.9385714285714286</v>
      </c>
      <c r="C117" s="58">
        <f t="shared" si="1"/>
        <v>7.8</v>
      </c>
      <c r="D117" s="58">
        <f t="shared" ref="D117:J117" si="3">(D5+D19+D33+D47+D61+D75+D89+D103)/7</f>
        <v>1.2171428571428571</v>
      </c>
      <c r="E117" s="58">
        <f t="shared" si="3"/>
        <v>8.8714285714285719</v>
      </c>
      <c r="F117" s="58">
        <f t="shared" si="3"/>
        <v>7.1514285714285721</v>
      </c>
      <c r="G117" s="58">
        <f t="shared" si="3"/>
        <v>7.04142857142857</v>
      </c>
      <c r="H117" s="58">
        <f t="shared" si="3"/>
        <v>6.5742857142857147</v>
      </c>
      <c r="I117" s="58">
        <f t="shared" si="3"/>
        <v>5.2442857142857147</v>
      </c>
      <c r="J117" s="58">
        <f t="shared" si="3"/>
        <v>8.0644285714285715</v>
      </c>
    </row>
    <row r="118" spans="1:10" x14ac:dyDescent="0.3">
      <c r="A118">
        <v>2018</v>
      </c>
      <c r="B118" s="58">
        <f t="shared" si="1"/>
        <v>8.901428571428573</v>
      </c>
      <c r="C118" s="58">
        <f t="shared" si="1"/>
        <v>7.6000000000000014</v>
      </c>
      <c r="D118" s="58">
        <f t="shared" ref="D118:J118" si="4">(D6+D20+D34+D48+D62+D76+D90+D104)/7</f>
        <v>1.2742857142857142</v>
      </c>
      <c r="E118" s="58">
        <f t="shared" si="4"/>
        <v>8.8000000000000007</v>
      </c>
      <c r="F118" s="58">
        <f t="shared" si="4"/>
        <v>7.378571428571429</v>
      </c>
      <c r="G118" s="58">
        <f t="shared" si="4"/>
        <v>7.0971428571428579</v>
      </c>
      <c r="H118" s="58">
        <f t="shared" si="4"/>
        <v>6.4057142857142866</v>
      </c>
      <c r="I118" s="58">
        <f t="shared" si="4"/>
        <v>5.0871428571428572</v>
      </c>
      <c r="J118" s="58">
        <f t="shared" si="4"/>
        <v>8.145428571428571</v>
      </c>
    </row>
    <row r="119" spans="1:10" x14ac:dyDescent="0.3">
      <c r="A119">
        <v>2019</v>
      </c>
      <c r="B119" s="58">
        <f t="shared" si="1"/>
        <v>8.9171428571428581</v>
      </c>
      <c r="C119" s="58">
        <f t="shared" si="1"/>
        <v>7.8</v>
      </c>
      <c r="D119" s="58">
        <f t="shared" ref="D119:J119" si="5">(D7+D21+D35+D49+D63+D77+D91+D105)/7</f>
        <v>1.102857142857143</v>
      </c>
      <c r="E119" s="58">
        <f t="shared" si="5"/>
        <v>8.7571428571428562</v>
      </c>
      <c r="F119" s="58">
        <f t="shared" si="5"/>
        <v>7.3685714285714274</v>
      </c>
      <c r="G119" s="58">
        <f t="shared" si="5"/>
        <v>7.0685714285714285</v>
      </c>
      <c r="H119" s="58">
        <f t="shared" si="5"/>
        <v>6.4157142857142855</v>
      </c>
      <c r="I119" s="58">
        <f t="shared" si="5"/>
        <v>5.0785714285714283</v>
      </c>
      <c r="J119" s="58">
        <f t="shared" si="5"/>
        <v>8.0540000000000003</v>
      </c>
    </row>
    <row r="120" spans="1:10" x14ac:dyDescent="0.3">
      <c r="A120">
        <v>2020</v>
      </c>
      <c r="B120" s="58">
        <f t="shared" si="1"/>
        <v>8.5985714285714288</v>
      </c>
      <c r="C120" s="58">
        <f t="shared" si="1"/>
        <v>7.7857142857142856</v>
      </c>
      <c r="D120" s="58">
        <f t="shared" ref="D120:J120" si="6">(D8+D22+D36+D50+D64+D78+D92+D106)/7</f>
        <v>0.95428571428571429</v>
      </c>
      <c r="E120" s="58">
        <f t="shared" si="6"/>
        <v>8.6999999999999993</v>
      </c>
      <c r="F120" s="58">
        <f t="shared" si="6"/>
        <v>7.47</v>
      </c>
      <c r="G120" s="58">
        <f t="shared" si="6"/>
        <v>7.0571428571428561</v>
      </c>
      <c r="H120" s="58">
        <f t="shared" si="6"/>
        <v>6.3942857142857132</v>
      </c>
      <c r="I120" s="58">
        <f t="shared" si="6"/>
        <v>4.9857142857142858</v>
      </c>
      <c r="J120" s="58">
        <f t="shared" si="6"/>
        <v>8.0359999999999996</v>
      </c>
    </row>
    <row r="121" spans="1:10" x14ac:dyDescent="0.3">
      <c r="A121">
        <v>2021</v>
      </c>
      <c r="B121" s="58">
        <f t="shared" si="1"/>
        <v>8.6357142857142879</v>
      </c>
      <c r="C121" s="58">
        <f t="shared" si="1"/>
        <v>7.6857142857142859</v>
      </c>
      <c r="D121" s="58">
        <f t="shared" ref="D121:J121" si="7">(D9+D23+D37+D51+D65+D79+D93+D107)/7</f>
        <v>1.0742857142857143</v>
      </c>
      <c r="E121" s="58">
        <f t="shared" si="7"/>
        <v>8.6857142857142851</v>
      </c>
      <c r="F121" s="58">
        <f t="shared" si="7"/>
        <v>7.5200000000000014</v>
      </c>
      <c r="G121" s="58">
        <f t="shared" si="7"/>
        <v>7.1571428571428566</v>
      </c>
      <c r="H121" s="58">
        <f t="shared" si="7"/>
        <v>6.305714285714286</v>
      </c>
      <c r="I121" s="58">
        <f t="shared" si="7"/>
        <v>4.9085714285714293</v>
      </c>
      <c r="J121" s="58">
        <f t="shared" si="7"/>
        <v>8.003285714285715</v>
      </c>
    </row>
    <row r="122" spans="1:10" x14ac:dyDescent="0.3">
      <c r="A122">
        <v>2022</v>
      </c>
      <c r="B122" s="58">
        <f t="shared" si="1"/>
        <v>8.7471428571428564</v>
      </c>
      <c r="C122" s="58">
        <f t="shared" si="1"/>
        <v>7.5714285714285712</v>
      </c>
      <c r="D122" s="58">
        <f t="shared" ref="D122:J122" si="8">(D10+D24+D38+D52+D66+D80+D94+D108)/7</f>
        <v>0.89142857142857124</v>
      </c>
      <c r="E122" s="58">
        <f t="shared" si="8"/>
        <v>8.7142857142857135</v>
      </c>
      <c r="F122" s="58">
        <f t="shared" si="8"/>
        <v>7.4814285714285704</v>
      </c>
      <c r="G122" s="58">
        <f t="shared" si="8"/>
        <v>7.3114285714285723</v>
      </c>
      <c r="H122" s="58">
        <f t="shared" si="8"/>
        <v>6.4042857142857148</v>
      </c>
      <c r="I122" s="58">
        <f t="shared" si="8"/>
        <v>5.0614285714285714</v>
      </c>
      <c r="J122" s="58">
        <f t="shared" si="8"/>
        <v>7.39</v>
      </c>
    </row>
    <row r="123" spans="1:10" x14ac:dyDescent="0.3">
      <c r="A123">
        <v>2023</v>
      </c>
      <c r="B123" s="58">
        <f t="shared" si="1"/>
        <v>8.668571428571429</v>
      </c>
      <c r="C123" s="58">
        <f t="shared" si="1"/>
        <v>7.6285714285714281</v>
      </c>
      <c r="D123" s="58">
        <f t="shared" ref="D123:J123" si="9">(D11+D25+D39+D53+D67+D81+D95+D109)/7</f>
        <v>1.2457142857142856</v>
      </c>
      <c r="E123" s="58">
        <f t="shared" si="9"/>
        <v>8.3857142857142861</v>
      </c>
      <c r="F123" s="58">
        <f t="shared" si="9"/>
        <v>7.3614285714285712</v>
      </c>
      <c r="G123" s="58">
        <f t="shared" si="9"/>
        <v>7.3257142857142856</v>
      </c>
      <c r="H123" s="58">
        <f t="shared" si="9"/>
        <v>6.3771428571428563</v>
      </c>
      <c r="I123" s="58">
        <f t="shared" si="9"/>
        <v>4.9185714285714299</v>
      </c>
      <c r="J123" s="58">
        <f t="shared" si="9"/>
        <v>7.6654285714285715</v>
      </c>
    </row>
    <row r="124" spans="1:10" x14ac:dyDescent="0.3">
      <c r="A124">
        <v>2024</v>
      </c>
      <c r="B124" s="58">
        <f t="shared" si="1"/>
        <v>8.7471428571428564</v>
      </c>
      <c r="C124" s="58">
        <f t="shared" si="1"/>
        <v>7.4285714285714288</v>
      </c>
      <c r="D124" s="58"/>
      <c r="E124" s="58">
        <f t="shared" ref="E124:J125" si="10">(E12+E26+E40+E54+E68+E82+E96+E110)/7</f>
        <v>8.3714285714285701</v>
      </c>
      <c r="F124" s="58">
        <f t="shared" si="10"/>
        <v>7.2128571428571417</v>
      </c>
      <c r="G124" s="58">
        <f t="shared" si="10"/>
        <v>7.3371428571428572</v>
      </c>
      <c r="H124" s="58">
        <f t="shared" si="10"/>
        <v>6.2614285714285716</v>
      </c>
      <c r="I124" s="58">
        <f t="shared" si="10"/>
        <v>4.8085714285714287</v>
      </c>
      <c r="J124" s="58">
        <f>(J12+J26+J40+J54+J68+J82+J96+J110)/7</f>
        <v>7.4070000000000009</v>
      </c>
    </row>
    <row r="125" spans="1:10" x14ac:dyDescent="0.3">
      <c r="A125">
        <v>2025</v>
      </c>
      <c r="B125" s="58"/>
      <c r="C125" s="58"/>
      <c r="D125" s="58"/>
      <c r="E125" s="58"/>
      <c r="F125" s="58">
        <f t="shared" si="10"/>
        <v>7.427142857142857</v>
      </c>
      <c r="G125" s="58"/>
      <c r="H125" s="58"/>
      <c r="I125" s="58"/>
      <c r="J125" s="58">
        <f t="shared" si="10"/>
        <v>7.3201428571428568</v>
      </c>
    </row>
  </sheetData>
  <pageMargins left="0.7" right="0.7" top="0.75" bottom="0.75" header="0.3" footer="0.3"/>
  <drawing r:id="rId1"/>
  <tableParts count="9">
    <tablePart r:id="rId2"/>
    <tablePart r:id="rId3"/>
    <tablePart r:id="rId4"/>
    <tablePart r:id="rId5"/>
    <tablePart r:id="rId6"/>
    <tablePart r:id="rId7"/>
    <tablePart r:id="rId8"/>
    <tablePart r:id="rId9"/>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Sources</vt:lpstr>
      <vt:lpstr>Croatia_Policies</vt:lpstr>
      <vt:lpstr>Croatia_Rating</vt:lpstr>
      <vt:lpstr>Bosnia_and_Herzegovina_Policies</vt:lpstr>
      <vt:lpstr>Bosnia_and_Herzegovina_Rating</vt:lpstr>
      <vt:lpstr>Serbia_Policies</vt:lpstr>
      <vt:lpstr>Serbia_Rating</vt:lpstr>
      <vt:lpstr>North_Macedonia_Policies</vt:lpstr>
      <vt:lpstr>North_Macedonia_Rating</vt:lpstr>
      <vt:lpstr>Montenegro_Policies</vt:lpstr>
      <vt:lpstr>Montenegro_Rating</vt:lpstr>
      <vt:lpstr>Albania_Policies</vt:lpstr>
      <vt:lpstr>Albania_Rating</vt:lpstr>
      <vt:lpstr>Kosovo_Policies</vt:lpstr>
      <vt:lpstr>Kosovo_Rating</vt:lpstr>
      <vt:lpstr>Slovenia_Policies</vt:lpstr>
      <vt:lpstr>Slovenia_Rating</vt:lpstr>
      <vt:lpstr>Hungary_Policies</vt:lpstr>
      <vt:lpstr>Hungary_Rating</vt:lpstr>
      <vt:lpstr>Western_Balkan_Rating</vt:lpstr>
      <vt:lpstr>Western_Balkan_Tables</vt:lpstr>
      <vt:lpstr>Variables</vt:lpstr>
      <vt:lpstr>Variables_Graphs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Aljaz Blatnik</dc:creator>
  <cp:lastModifiedBy>Aljaz Blatnik</cp:lastModifiedBy>
  <dcterms:created xsi:type="dcterms:W3CDTF">2015-06-05T18:17:20Z</dcterms:created>
  <dcterms:modified xsi:type="dcterms:W3CDTF">2026-08-07T14:17:03Z</dcterms:modified>
</cp:coreProperties>
</file>